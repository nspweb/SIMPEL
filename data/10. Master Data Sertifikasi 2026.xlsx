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tifikasi" sheetId="1" r:id="rId5"/>
    <sheet state="visible" name="Sheet2" sheetId="2" r:id="rId6"/>
  </sheets>
  <definedNames>
    <definedName hidden="1" localSheetId="0" name="_xlnm._FilterDatabase">Sertifikasi!$A$1:$S$1728</definedName>
  </definedNames>
  <calcPr/>
</workbook>
</file>

<file path=xl/sharedStrings.xml><?xml version="1.0" encoding="utf-8"?>
<sst xmlns="http://schemas.openxmlformats.org/spreadsheetml/2006/main" count="1196" uniqueCount="24">
  <si>
    <t>No</t>
  </si>
  <si>
    <t>Skema</t>
  </si>
  <si>
    <t>TUK</t>
  </si>
  <si>
    <t>Tahap</t>
  </si>
  <si>
    <t>Tanggal Pendaftaran</t>
  </si>
  <si>
    <t>Nama Lengkap</t>
  </si>
  <si>
    <t>Nomor KTP</t>
  </si>
  <si>
    <t>Tempat Lahir</t>
  </si>
  <si>
    <t>Tanggal Lahir
Tgl/Bulan/Tahun</t>
  </si>
  <si>
    <t>Jenis Kelamin</t>
  </si>
  <si>
    <t>Alamat Rumah</t>
  </si>
  <si>
    <t>Nomor Telepon</t>
  </si>
  <si>
    <t>Alamat Email</t>
  </si>
  <si>
    <t>Kualifikasi pendidikan</t>
  </si>
  <si>
    <t>Kebangsaan</t>
  </si>
  <si>
    <t>Asesor</t>
  </si>
  <si>
    <t>Form APL 01 &amp; 02</t>
  </si>
  <si>
    <t>Hasil UJK</t>
  </si>
  <si>
    <t>Cetak Sertifikat</t>
  </si>
  <si>
    <t>SMA / SMK / MA</t>
  </si>
  <si>
    <t>Selesai</t>
  </si>
  <si>
    <t>BLK Konawe Selatan</t>
  </si>
  <si>
    <t>BPVP Kendari</t>
  </si>
  <si>
    <t>BLK Kolaka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</si>
</sst>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Roboto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3" numFmtId="1" xfId="0" applyAlignment="1" applyFont="1" applyNumberFormat="1">
      <alignment shrinkToFit="0" vertical="center" wrapText="0"/>
    </xf>
    <xf borderId="0" fillId="0" fontId="3" numFmtId="1" xfId="0" applyAlignment="1" applyFont="1" applyNumberFormat="1">
      <alignment shrinkToFit="0" vertical="center" wrapText="0"/>
    </xf>
    <xf borderId="0" fillId="0" fontId="3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ertifikas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728" displayName="Table1" name="Table1" id="1">
  <autoFilter ref="$A$1:$S$1728"/>
  <tableColumns count="19">
    <tableColumn name="No" id="1"/>
    <tableColumn name="Skema" id="2"/>
    <tableColumn name="TUK" id="3"/>
    <tableColumn name="Tahap" id="4"/>
    <tableColumn name="Tanggal Pendaftaran" id="5"/>
    <tableColumn name="Nama Lengkap" id="6"/>
    <tableColumn name="Nomor KTP" id="7"/>
    <tableColumn name="Tempat Lahir" id="8"/>
    <tableColumn name="Tanggal Lahir_x000a_Tgl/Bulan/Tahun" id="9"/>
    <tableColumn name="Jenis Kelamin" id="10"/>
    <tableColumn name="Alamat Rumah" id="11"/>
    <tableColumn name="Nomor Telepon" id="12"/>
    <tableColumn name="Alamat Email" id="13"/>
    <tableColumn name="Kualifikasi pendidikan" id="14"/>
    <tableColumn name="Kebangsaan" id="15"/>
    <tableColumn name="Asesor" id="16"/>
    <tableColumn name="Form APL 01 &amp; 02" id="17"/>
    <tableColumn name="Hasil UJK" id="18"/>
    <tableColumn name="Cetak Sertifikat" id="19"/>
  </tableColumns>
  <tableStyleInfo name="Sertifikas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38"/>
    <col customWidth="1" min="3" max="3" width="28.75"/>
    <col customWidth="1" min="5" max="5" width="20.88"/>
    <col customWidth="1" min="6" max="6" width="36.75"/>
    <col customWidth="1" min="7" max="7" width="21.0"/>
    <col customWidth="1" min="9" max="9" width="17.88"/>
    <col customWidth="1" min="10" max="10" width="15.88"/>
    <col customWidth="1" min="11" max="11" width="51.63"/>
    <col customWidth="1" min="12" max="12" width="16.88"/>
    <col customWidth="1" min="13" max="13" width="15.38"/>
    <col customWidth="1" min="14" max="14" width="17.25"/>
    <col customWidth="1" min="15" max="15" width="17.0"/>
    <col customWidth="1" min="17" max="17" width="18.88"/>
    <col customWidth="1" min="19" max="19" width="16.88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/>
      <c r="U1" s="5"/>
      <c r="V1" s="5"/>
      <c r="W1" s="5"/>
      <c r="X1" s="5"/>
      <c r="Y1" s="5"/>
      <c r="Z1" s="5"/>
      <c r="AA1" s="5"/>
    </row>
    <row r="2" ht="22.5" customHeight="1">
      <c r="A2" s="6">
        <f t="array" ref="A2:A1729">SEQUENCE(1728,1)</f>
        <v>1</v>
      </c>
      <c r="B2" s="6" t="str">
        <f>IFERROR(__xludf.DUMMYFUNCTION("IMPORTRANGE(""https://docs.google.com/spreadsheets/d/11mLerdMAj_XZuORe1GzlmFblqlsIUzHU3CEpzZZkidY/edit?usp=sharing"", ""Rekap!N2:N"")"),"Merias Wajah")</f>
        <v>Merias Wajah</v>
      </c>
      <c r="C2" s="6" t="str">
        <f>IFERROR(__xludf.DUMMYFUNCTION("IMPORTRANGE(""https://docs.google.com/spreadsheets/d/11mLerdMAj_XZuORe1GzlmFblqlsIUzHU3CEpzZZkidY/edit?usp=sharing"", ""Rekap!z2:Z823"")"),"SMK Negeri 3 Muna")</f>
        <v>SMK Negeri 3 Muna</v>
      </c>
      <c r="F2" s="6" t="str">
        <f>IFERROR(__xludf.DUMMYFUNCTION("IMPORTRANGE(""https://docs.google.com/spreadsheets/d/11mLerdMAj_XZuORe1GzlmFblqlsIUzHU3CEpzZZkidY/edit?usp=sharing"", ""Rekap!C2:C"")"),"ANNISA AULIA PUTRI")</f>
        <v>ANNISA AULIA PUTRI</v>
      </c>
      <c r="G2" s="6" t="str">
        <f>IFERROR(__xludf.DUMMYFUNCTION("IMPORTRANGE(""https://docs.google.com/spreadsheets/d/11mLerdMAj_XZuORe1GzlmFblqlsIUzHU3CEpzZZkidY/edit?usp=sharing"", ""Rekap!B2:B"")"),"7403045303090001")</f>
        <v>7403045303090001</v>
      </c>
      <c r="J2" s="7" t="str">
        <f>IFERROR(__xludf.DUMMYFUNCTION("IMPORTRANGE(""https://docs.google.com/spreadsheets/d/11mLerdMAj_XZuORe1GzlmFblqlsIUzHU3CEpzZZkidY/edit?usp=sharing"", ""Rekap!F2:F"")"),"PEREMPUAN")</f>
        <v>PEREMPUAN</v>
      </c>
      <c r="K2" s="6" t="str">
        <f>IFERROR(__xludf.DUMMYFUNCTION("IMPORTRANGE(""https://docs.google.com/spreadsheets/d/11mLerdMAj_XZuORe1GzlmFblqlsIUzHU3CEpzZZkidY/edit?usp=sharing"", ""Rekap!G2:G"")"),"")</f>
        <v/>
      </c>
      <c r="N2" s="8" t="s">
        <v>19</v>
      </c>
      <c r="R2" s="7" t="str">
        <f>IFERROR(__xludf.DUMMYFUNCTION("IMPORTRANGE(""https://docs.google.com/spreadsheets/d/11mLerdMAj_XZuORe1GzlmFblqlsIUzHU3CEpzZZkidY/edit?usp=sharing"", ""Rekap!AE2:AE"")"),"K")</f>
        <v>K</v>
      </c>
      <c r="S2" s="8" t="s">
        <v>20</v>
      </c>
    </row>
    <row r="3" ht="22.5" customHeight="1">
      <c r="A3" s="6">
        <v>2.0</v>
      </c>
      <c r="B3" s="6" t="str">
        <f>IFERROR(__xludf.DUMMYFUNCTION("""COMPUTED_VALUE"""),"Merias Wajah")</f>
        <v>Merias Wajah</v>
      </c>
      <c r="C3" s="6" t="str">
        <f>IFERROR(__xludf.DUMMYFUNCTION("""COMPUTED_VALUE"""),"SMK Negeri 3 Muna")</f>
        <v>SMK Negeri 3 Muna</v>
      </c>
      <c r="F3" s="6" t="str">
        <f>IFERROR(__xludf.DUMMYFUNCTION("""COMPUTED_VALUE"""),"AS-ZAHRA PUTRI SALSABILLAH")</f>
        <v>AS-ZAHRA PUTRI SALSABILLAH</v>
      </c>
      <c r="G3" s="6" t="str">
        <f>IFERROR(__xludf.DUMMYFUNCTION("""COMPUTED_VALUE"""),"7403157003080001")</f>
        <v>7403157003080001</v>
      </c>
      <c r="J3" s="7" t="str">
        <f>IFERROR(__xludf.DUMMYFUNCTION("""COMPUTED_VALUE"""),"PEREMPUAN")</f>
        <v>PEREMPUAN</v>
      </c>
      <c r="K3" s="6"/>
      <c r="N3" s="8" t="s">
        <v>19</v>
      </c>
      <c r="R3" s="7" t="str">
        <f>IFERROR(__xludf.DUMMYFUNCTION("""COMPUTED_VALUE"""),"K")</f>
        <v>K</v>
      </c>
      <c r="S3" s="8" t="s">
        <v>20</v>
      </c>
    </row>
    <row r="4" ht="22.5" customHeight="1">
      <c r="A4" s="6">
        <v>3.0</v>
      </c>
      <c r="B4" s="6" t="str">
        <f>IFERROR(__xludf.DUMMYFUNCTION("""COMPUTED_VALUE"""),"Merias Wajah")</f>
        <v>Merias Wajah</v>
      </c>
      <c r="C4" s="6" t="str">
        <f>IFERROR(__xludf.DUMMYFUNCTION("""COMPUTED_VALUE"""),"SMK Negeri 3 Muna")</f>
        <v>SMK Negeri 3 Muna</v>
      </c>
      <c r="F4" s="6" t="str">
        <f>IFERROR(__xludf.DUMMYFUNCTION("""COMPUTED_VALUE"""),"DIAN NOVITA")</f>
        <v>DIAN NOVITA</v>
      </c>
      <c r="G4" s="6" t="str">
        <f>IFERROR(__xludf.DUMMYFUNCTION("""COMPUTED_VALUE"""),"7403326001070001")</f>
        <v>7403326001070001</v>
      </c>
      <c r="J4" s="7" t="str">
        <f>IFERROR(__xludf.DUMMYFUNCTION("""COMPUTED_VALUE"""),"PEREMPUAN")</f>
        <v>PEREMPUAN</v>
      </c>
      <c r="K4" s="6"/>
      <c r="N4" s="8" t="s">
        <v>19</v>
      </c>
      <c r="R4" s="7" t="str">
        <f>IFERROR(__xludf.DUMMYFUNCTION("""COMPUTED_VALUE"""),"K")</f>
        <v>K</v>
      </c>
      <c r="S4" s="8" t="s">
        <v>20</v>
      </c>
    </row>
    <row r="5" ht="22.5" customHeight="1">
      <c r="A5" s="6">
        <v>4.0</v>
      </c>
      <c r="B5" s="6" t="str">
        <f>IFERROR(__xludf.DUMMYFUNCTION("""COMPUTED_VALUE"""),"Merias Wajah")</f>
        <v>Merias Wajah</v>
      </c>
      <c r="C5" s="6" t="str">
        <f>IFERROR(__xludf.DUMMYFUNCTION("""COMPUTED_VALUE"""),"SMK Negeri 3 Muna")</f>
        <v>SMK Negeri 3 Muna</v>
      </c>
      <c r="F5" s="6" t="str">
        <f>IFERROR(__xludf.DUMMYFUNCTION("""COMPUTED_VALUE"""),"ELVIKA")</f>
        <v>ELVIKA</v>
      </c>
      <c r="G5" s="6" t="str">
        <f>IFERROR(__xludf.DUMMYFUNCTION("""COMPUTED_VALUE"""),"7403106811070001")</f>
        <v>7403106811070001</v>
      </c>
      <c r="J5" s="7" t="str">
        <f>IFERROR(__xludf.DUMMYFUNCTION("""COMPUTED_VALUE"""),"PEREMPUAN")</f>
        <v>PEREMPUAN</v>
      </c>
      <c r="K5" s="6"/>
      <c r="N5" s="8" t="s">
        <v>19</v>
      </c>
      <c r="R5" s="7" t="str">
        <f>IFERROR(__xludf.DUMMYFUNCTION("""COMPUTED_VALUE"""),"K")</f>
        <v>K</v>
      </c>
      <c r="S5" s="8" t="s">
        <v>20</v>
      </c>
    </row>
    <row r="6" ht="22.5" customHeight="1">
      <c r="A6" s="6">
        <v>5.0</v>
      </c>
      <c r="B6" s="6" t="str">
        <f>IFERROR(__xludf.DUMMYFUNCTION("""COMPUTED_VALUE"""),"Merias Wajah")</f>
        <v>Merias Wajah</v>
      </c>
      <c r="C6" s="6" t="str">
        <f>IFERROR(__xludf.DUMMYFUNCTION("""COMPUTED_VALUE"""),"SMK Negeri 3 Muna")</f>
        <v>SMK Negeri 3 Muna</v>
      </c>
      <c r="F6" s="6" t="str">
        <f>IFERROR(__xludf.DUMMYFUNCTION("""COMPUTED_VALUE"""),"INTAN NUR AENI")</f>
        <v>INTAN NUR AENI</v>
      </c>
      <c r="G6" s="6" t="str">
        <f>IFERROR(__xludf.DUMMYFUNCTION("""COMPUTED_VALUE"""),"7403274810060001")</f>
        <v>7403274810060001</v>
      </c>
      <c r="J6" s="7" t="str">
        <f>IFERROR(__xludf.DUMMYFUNCTION("""COMPUTED_VALUE"""),"PEREMPUAN")</f>
        <v>PEREMPUAN</v>
      </c>
      <c r="K6" s="6"/>
      <c r="N6" s="8" t="s">
        <v>19</v>
      </c>
      <c r="R6" s="7" t="str">
        <f>IFERROR(__xludf.DUMMYFUNCTION("""COMPUTED_VALUE"""),"K")</f>
        <v>K</v>
      </c>
      <c r="S6" s="8" t="s">
        <v>20</v>
      </c>
    </row>
    <row r="7" ht="22.5" customHeight="1">
      <c r="A7" s="6">
        <v>6.0</v>
      </c>
      <c r="B7" s="6" t="str">
        <f>IFERROR(__xludf.DUMMYFUNCTION("""COMPUTED_VALUE"""),"Merias Wajah")</f>
        <v>Merias Wajah</v>
      </c>
      <c r="C7" s="6" t="str">
        <f>IFERROR(__xludf.DUMMYFUNCTION("""COMPUTED_VALUE"""),"SMK Negeri 3 Muna")</f>
        <v>SMK Negeri 3 Muna</v>
      </c>
      <c r="F7" s="6" t="str">
        <f>IFERROR(__xludf.DUMMYFUNCTION("""COMPUTED_VALUE"""),"JUWITA SEPTIANI PUTRI")</f>
        <v>JUWITA SEPTIANI PUTRI</v>
      </c>
      <c r="G7" s="6" t="str">
        <f>IFERROR(__xludf.DUMMYFUNCTION("""COMPUTED_VALUE"""),"7403105907080001")</f>
        <v>7403105907080001</v>
      </c>
      <c r="J7" s="7" t="str">
        <f>IFERROR(__xludf.DUMMYFUNCTION("""COMPUTED_VALUE"""),"PEREMPUAN")</f>
        <v>PEREMPUAN</v>
      </c>
      <c r="K7" s="6"/>
      <c r="N7" s="8" t="s">
        <v>19</v>
      </c>
      <c r="R7" s="7" t="str">
        <f>IFERROR(__xludf.DUMMYFUNCTION("""COMPUTED_VALUE"""),"K")</f>
        <v>K</v>
      </c>
      <c r="S7" s="8" t="s">
        <v>20</v>
      </c>
    </row>
    <row r="8" ht="22.5" customHeight="1">
      <c r="A8" s="6">
        <v>7.0</v>
      </c>
      <c r="B8" s="6" t="str">
        <f>IFERROR(__xludf.DUMMYFUNCTION("""COMPUTED_VALUE"""),"Merias Wajah")</f>
        <v>Merias Wajah</v>
      </c>
      <c r="C8" s="6" t="str">
        <f>IFERROR(__xludf.DUMMYFUNCTION("""COMPUTED_VALUE"""),"SMK Negeri 3 Muna")</f>
        <v>SMK Negeri 3 Muna</v>
      </c>
      <c r="F8" s="6" t="str">
        <f>IFERROR(__xludf.DUMMYFUNCTION("""COMPUTED_VALUE"""),"KEYSHA MAHAREZKY")</f>
        <v>KEYSHA MAHAREZKY</v>
      </c>
      <c r="G8" s="6" t="str">
        <f>IFERROR(__xludf.DUMMYFUNCTION("""COMPUTED_VALUE"""),"7403104806080001")</f>
        <v>7403104806080001</v>
      </c>
      <c r="J8" s="7" t="str">
        <f>IFERROR(__xludf.DUMMYFUNCTION("""COMPUTED_VALUE"""),"PEREMPUAN")</f>
        <v>PEREMPUAN</v>
      </c>
      <c r="K8" s="6"/>
      <c r="N8" s="8" t="s">
        <v>19</v>
      </c>
      <c r="R8" s="7" t="str">
        <f>IFERROR(__xludf.DUMMYFUNCTION("""COMPUTED_VALUE"""),"K")</f>
        <v>K</v>
      </c>
      <c r="S8" s="8" t="s">
        <v>20</v>
      </c>
    </row>
    <row r="9" ht="22.5" customHeight="1">
      <c r="A9" s="6">
        <v>8.0</v>
      </c>
      <c r="B9" s="6" t="str">
        <f>IFERROR(__xludf.DUMMYFUNCTION("""COMPUTED_VALUE"""),"Merias Wajah")</f>
        <v>Merias Wajah</v>
      </c>
      <c r="C9" s="6" t="str">
        <f>IFERROR(__xludf.DUMMYFUNCTION("""COMPUTED_VALUE"""),"SMK Negeri 3 Muna")</f>
        <v>SMK Negeri 3 Muna</v>
      </c>
      <c r="F9" s="6" t="str">
        <f>IFERROR(__xludf.DUMMYFUNCTION("""COMPUTED_VALUE"""),"MIRZA I. MENDALORA")</f>
        <v>MIRZA I. MENDALORA</v>
      </c>
      <c r="G9" s="6" t="str">
        <f>IFERROR(__xludf.DUMMYFUNCTION("""COMPUTED_VALUE"""),"7403270601080001")</f>
        <v>7403270601080001</v>
      </c>
      <c r="J9" s="7" t="str">
        <f>IFERROR(__xludf.DUMMYFUNCTION("""COMPUTED_VALUE"""),"LAKI-LAKI")</f>
        <v>LAKI-LAKI</v>
      </c>
      <c r="K9" s="6"/>
      <c r="N9" s="8" t="s">
        <v>19</v>
      </c>
      <c r="R9" s="7" t="str">
        <f>IFERROR(__xludf.DUMMYFUNCTION("""COMPUTED_VALUE"""),"K")</f>
        <v>K</v>
      </c>
      <c r="S9" s="8" t="s">
        <v>20</v>
      </c>
    </row>
    <row r="10" ht="22.5" customHeight="1">
      <c r="A10" s="6">
        <v>9.0</v>
      </c>
      <c r="B10" s="6" t="str">
        <f>IFERROR(__xludf.DUMMYFUNCTION("""COMPUTED_VALUE"""),"Merias Wajah")</f>
        <v>Merias Wajah</v>
      </c>
      <c r="C10" s="6" t="str">
        <f>IFERROR(__xludf.DUMMYFUNCTION("""COMPUTED_VALUE"""),"SMK Negeri 3 Muna")</f>
        <v>SMK Negeri 3 Muna</v>
      </c>
      <c r="F10" s="6" t="str">
        <f>IFERROR(__xludf.DUMMYFUNCTION("""COMPUTED_VALUE"""),"MUHAMAD SUGIANTO")</f>
        <v>MUHAMAD SUGIANTO</v>
      </c>
      <c r="G10" s="6" t="str">
        <f>IFERROR(__xludf.DUMMYFUNCTION("""COMPUTED_VALUE"""),"7403160205080001")</f>
        <v>7403160205080001</v>
      </c>
      <c r="J10" s="7" t="str">
        <f>IFERROR(__xludf.DUMMYFUNCTION("""COMPUTED_VALUE"""),"LAKI-LAKI")</f>
        <v>LAKI-LAKI</v>
      </c>
      <c r="K10" s="6"/>
      <c r="N10" s="8" t="s">
        <v>19</v>
      </c>
      <c r="R10" s="7" t="str">
        <f>IFERROR(__xludf.DUMMYFUNCTION("""COMPUTED_VALUE"""),"K")</f>
        <v>K</v>
      </c>
      <c r="S10" s="8" t="s">
        <v>20</v>
      </c>
    </row>
    <row r="11" ht="22.5" customHeight="1">
      <c r="A11" s="6">
        <v>10.0</v>
      </c>
      <c r="B11" s="6" t="str">
        <f>IFERROR(__xludf.DUMMYFUNCTION("""COMPUTED_VALUE"""),"Merias Wajah")</f>
        <v>Merias Wajah</v>
      </c>
      <c r="C11" s="6" t="str">
        <f>IFERROR(__xludf.DUMMYFUNCTION("""COMPUTED_VALUE"""),"SMK Negeri 3 Muna")</f>
        <v>SMK Negeri 3 Muna</v>
      </c>
      <c r="F11" s="6" t="str">
        <f>IFERROR(__xludf.DUMMYFUNCTION("""COMPUTED_VALUE"""),"NEO LESTARI")</f>
        <v>NEO LESTARI</v>
      </c>
      <c r="G11" s="6" t="str">
        <f>IFERROR(__xludf.DUMMYFUNCTION("""COMPUTED_VALUE"""),"7403334808080002")</f>
        <v>7403334808080002</v>
      </c>
      <c r="J11" s="7" t="str">
        <f>IFERROR(__xludf.DUMMYFUNCTION("""COMPUTED_VALUE"""),"PEREMPUAN")</f>
        <v>PEREMPUAN</v>
      </c>
      <c r="K11" s="6"/>
      <c r="N11" s="8" t="s">
        <v>19</v>
      </c>
      <c r="R11" s="7" t="str">
        <f>IFERROR(__xludf.DUMMYFUNCTION("""COMPUTED_VALUE"""),"K")</f>
        <v>K</v>
      </c>
      <c r="S11" s="8" t="s">
        <v>20</v>
      </c>
    </row>
    <row r="12" ht="22.5" customHeight="1">
      <c r="A12" s="6">
        <v>11.0</v>
      </c>
      <c r="B12" s="9" t="str">
        <f>IFERROR(__xludf.DUMMYFUNCTION("""COMPUTED_VALUE"""),"Merias Wajah")</f>
        <v>Merias Wajah</v>
      </c>
      <c r="C12" s="9" t="str">
        <f>IFERROR(__xludf.DUMMYFUNCTION("""COMPUTED_VALUE"""),"SMK Negeri 3 Muna")</f>
        <v>SMK Negeri 3 Muna</v>
      </c>
      <c r="D12" s="9"/>
      <c r="E12" s="9"/>
      <c r="F12" s="9" t="str">
        <f>IFERROR(__xludf.DUMMYFUNCTION("""COMPUTED_VALUE"""),"NUR AFIFAH YASMIN")</f>
        <v>NUR AFIFAH YASMIN</v>
      </c>
      <c r="G12" s="9" t="str">
        <f>IFERROR(__xludf.DUMMYFUNCTION("""COMPUTED_VALUE"""),"7471104412070003")</f>
        <v>7471104412070003</v>
      </c>
      <c r="H12" s="9"/>
      <c r="I12" s="9"/>
      <c r="J12" s="10" t="str">
        <f>IFERROR(__xludf.DUMMYFUNCTION("""COMPUTED_VALUE"""),"PEREMPUAN")</f>
        <v>PEREMPUAN</v>
      </c>
      <c r="K12" s="9"/>
      <c r="L12" s="9"/>
      <c r="M12" s="9"/>
      <c r="N12" s="8" t="s">
        <v>19</v>
      </c>
      <c r="O12" s="9"/>
      <c r="P12" s="9"/>
      <c r="Q12" s="9"/>
      <c r="R12" s="10" t="str">
        <f>IFERROR(__xludf.DUMMYFUNCTION("""COMPUTED_VALUE"""),"K")</f>
        <v>K</v>
      </c>
      <c r="S12" s="8" t="s">
        <v>20</v>
      </c>
    </row>
    <row r="13" ht="22.5" customHeight="1">
      <c r="A13" s="6">
        <v>12.0</v>
      </c>
      <c r="B13" s="9" t="str">
        <f>IFERROR(__xludf.DUMMYFUNCTION("""COMPUTED_VALUE"""),"Merias Wajah")</f>
        <v>Merias Wajah</v>
      </c>
      <c r="C13" s="9" t="str">
        <f>IFERROR(__xludf.DUMMYFUNCTION("""COMPUTED_VALUE"""),"SMK Negeri 3 Muna")</f>
        <v>SMK Negeri 3 Muna</v>
      </c>
      <c r="D13" s="9"/>
      <c r="E13" s="9"/>
      <c r="F13" s="9" t="str">
        <f>IFERROR(__xludf.DUMMYFUNCTION("""COMPUTED_VALUE"""),"NUR  AKMA  SYAFIKA")</f>
        <v>NUR  AKMA  SYAFIKA</v>
      </c>
      <c r="G13" s="9" t="str">
        <f>IFERROR(__xludf.DUMMYFUNCTION("""COMPUTED_VALUE"""),"7403147103080001")</f>
        <v>7403147103080001</v>
      </c>
      <c r="H13" s="9"/>
      <c r="I13" s="9"/>
      <c r="J13" s="10" t="str">
        <f>IFERROR(__xludf.DUMMYFUNCTION("""COMPUTED_VALUE"""),"PEREMPUAN")</f>
        <v>PEREMPUAN</v>
      </c>
      <c r="K13" s="9"/>
      <c r="L13" s="9"/>
      <c r="M13" s="9"/>
      <c r="N13" s="8" t="s">
        <v>19</v>
      </c>
      <c r="O13" s="9"/>
      <c r="P13" s="9"/>
      <c r="Q13" s="9"/>
      <c r="R13" s="10" t="str">
        <f>IFERROR(__xludf.DUMMYFUNCTION("""COMPUTED_VALUE"""),"K")</f>
        <v>K</v>
      </c>
      <c r="S13" s="8" t="s">
        <v>20</v>
      </c>
    </row>
    <row r="14" ht="22.5" customHeight="1">
      <c r="A14" s="6">
        <v>13.0</v>
      </c>
      <c r="B14" s="9" t="str">
        <f>IFERROR(__xludf.DUMMYFUNCTION("""COMPUTED_VALUE"""),"Merias Wajah")</f>
        <v>Merias Wajah</v>
      </c>
      <c r="C14" s="9" t="str">
        <f>IFERROR(__xludf.DUMMYFUNCTION("""COMPUTED_VALUE"""),"SMK Negeri 3 Muna")</f>
        <v>SMK Negeri 3 Muna</v>
      </c>
      <c r="D14" s="9"/>
      <c r="E14" s="9"/>
      <c r="F14" s="9" t="str">
        <f>IFERROR(__xludf.DUMMYFUNCTION("""COMPUTED_VALUE"""),"RABIAH")</f>
        <v>RABIAH</v>
      </c>
      <c r="G14" s="9" t="str">
        <f>IFERROR(__xludf.DUMMYFUNCTION("""COMPUTED_VALUE"""),"7404074712040001")</f>
        <v>7404074712040001</v>
      </c>
      <c r="H14" s="9"/>
      <c r="I14" s="9"/>
      <c r="J14" s="10" t="str">
        <f>IFERROR(__xludf.DUMMYFUNCTION("""COMPUTED_VALUE"""),"PEREMPUAN")</f>
        <v>PEREMPUAN</v>
      </c>
      <c r="K14" s="9"/>
      <c r="L14" s="9"/>
      <c r="M14" s="9"/>
      <c r="N14" s="8" t="s">
        <v>19</v>
      </c>
      <c r="O14" s="9"/>
      <c r="P14" s="9"/>
      <c r="Q14" s="9"/>
      <c r="R14" s="10" t="str">
        <f>IFERROR(__xludf.DUMMYFUNCTION("""COMPUTED_VALUE"""),"K")</f>
        <v>K</v>
      </c>
      <c r="S14" s="8" t="s">
        <v>20</v>
      </c>
    </row>
    <row r="15" ht="22.5" customHeight="1">
      <c r="A15" s="6">
        <v>14.0</v>
      </c>
      <c r="B15" s="9" t="str">
        <f>IFERROR(__xludf.DUMMYFUNCTION("""COMPUTED_VALUE"""),"Merias Wajah")</f>
        <v>Merias Wajah</v>
      </c>
      <c r="C15" s="9" t="str">
        <f>IFERROR(__xludf.DUMMYFUNCTION("""COMPUTED_VALUE"""),"SMK Negeri 3 Muna")</f>
        <v>SMK Negeri 3 Muna</v>
      </c>
      <c r="D15" s="9"/>
      <c r="E15" s="9"/>
      <c r="F15" s="9" t="str">
        <f>IFERROR(__xludf.DUMMYFUNCTION("""COMPUTED_VALUE"""),"SELA YANTI")</f>
        <v>SELA YANTI</v>
      </c>
      <c r="G15" s="9" t="str">
        <f>IFERROR(__xludf.DUMMYFUNCTION("""COMPUTED_VALUE"""),"7403195810070001")</f>
        <v>7403195810070001</v>
      </c>
      <c r="H15" s="9"/>
      <c r="I15" s="9"/>
      <c r="J15" s="10" t="str">
        <f>IFERROR(__xludf.DUMMYFUNCTION("""COMPUTED_VALUE"""),"PEREMPUAN")</f>
        <v>PEREMPUAN</v>
      </c>
      <c r="K15" s="9"/>
      <c r="L15" s="9"/>
      <c r="M15" s="9"/>
      <c r="N15" s="8" t="s">
        <v>19</v>
      </c>
      <c r="O15" s="9"/>
      <c r="P15" s="9"/>
      <c r="Q15" s="9"/>
      <c r="R15" s="10" t="str">
        <f>IFERROR(__xludf.DUMMYFUNCTION("""COMPUTED_VALUE"""),"K")</f>
        <v>K</v>
      </c>
      <c r="S15" s="8" t="s">
        <v>20</v>
      </c>
    </row>
    <row r="16" ht="22.5" customHeight="1">
      <c r="A16" s="6">
        <v>15.0</v>
      </c>
      <c r="B16" s="9" t="str">
        <f>IFERROR(__xludf.DUMMYFUNCTION("""COMPUTED_VALUE"""),"Merias Wajah")</f>
        <v>Merias Wajah</v>
      </c>
      <c r="C16" s="9" t="str">
        <f>IFERROR(__xludf.DUMMYFUNCTION("""COMPUTED_VALUE"""),"SMK Negeri 3 Muna")</f>
        <v>SMK Negeri 3 Muna</v>
      </c>
      <c r="D16" s="9"/>
      <c r="E16" s="9"/>
      <c r="F16" s="9" t="str">
        <f>IFERROR(__xludf.DUMMYFUNCTION("""COMPUTED_VALUE"""),"TIKA VERONIKA")</f>
        <v>TIKA VERONIKA</v>
      </c>
      <c r="G16" s="9" t="str">
        <f>IFERROR(__xludf.DUMMYFUNCTION("""COMPUTED_VALUE"""),"7403325806080001")</f>
        <v>7403325806080001</v>
      </c>
      <c r="H16" s="9"/>
      <c r="I16" s="9"/>
      <c r="J16" s="10" t="str">
        <f>IFERROR(__xludf.DUMMYFUNCTION("""COMPUTED_VALUE"""),"PEREMPUAN")</f>
        <v>PEREMPUAN</v>
      </c>
      <c r="K16" s="9"/>
      <c r="L16" s="9"/>
      <c r="M16" s="9"/>
      <c r="N16" s="8" t="s">
        <v>19</v>
      </c>
      <c r="O16" s="9"/>
      <c r="P16" s="9"/>
      <c r="Q16" s="9"/>
      <c r="R16" s="10" t="str">
        <f>IFERROR(__xludf.DUMMYFUNCTION("""COMPUTED_VALUE"""),"K")</f>
        <v>K</v>
      </c>
      <c r="S16" s="8" t="s">
        <v>20</v>
      </c>
    </row>
    <row r="17" ht="22.5" customHeight="1">
      <c r="A17" s="6">
        <v>16.0</v>
      </c>
      <c r="B17" s="9" t="str">
        <f>IFERROR(__xludf.DUMMYFUNCTION("""COMPUTED_VALUE"""),"Merias Wajah")</f>
        <v>Merias Wajah</v>
      </c>
      <c r="C17" s="9" t="str">
        <f>IFERROR(__xludf.DUMMYFUNCTION("""COMPUTED_VALUE"""),"SMK Negeri 3 Muna")</f>
        <v>SMK Negeri 3 Muna</v>
      </c>
      <c r="D17" s="9"/>
      <c r="E17" s="9"/>
      <c r="F17" s="9" t="str">
        <f>IFERROR(__xludf.DUMMYFUNCTION("""COMPUTED_VALUE"""),"WA ODE NUR AIMAH MUSKARIM")</f>
        <v>WA ODE NUR AIMAH MUSKARIM</v>
      </c>
      <c r="G17" s="9" t="str">
        <f>IFERROR(__xludf.DUMMYFUNCTION("""COMPUTED_VALUE"""),"7403116504090001")</f>
        <v>7403116504090001</v>
      </c>
      <c r="H17" s="9"/>
      <c r="I17" s="9"/>
      <c r="J17" s="10" t="str">
        <f>IFERROR(__xludf.DUMMYFUNCTION("""COMPUTED_VALUE"""),"PEREMPUAN")</f>
        <v>PEREMPUAN</v>
      </c>
      <c r="K17" s="9"/>
      <c r="L17" s="9"/>
      <c r="M17" s="9"/>
      <c r="N17" s="8" t="s">
        <v>19</v>
      </c>
      <c r="O17" s="9"/>
      <c r="P17" s="9"/>
      <c r="Q17" s="9"/>
      <c r="R17" s="10" t="str">
        <f>IFERROR(__xludf.DUMMYFUNCTION("""COMPUTED_VALUE"""),"K")</f>
        <v>K</v>
      </c>
      <c r="S17" s="8" t="s">
        <v>20</v>
      </c>
    </row>
    <row r="18" ht="22.5" customHeight="1">
      <c r="A18" s="6">
        <v>17.0</v>
      </c>
      <c r="B18" s="9" t="str">
        <f>IFERROR(__xludf.DUMMYFUNCTION("""COMPUTED_VALUE"""),"Merias Wajah")</f>
        <v>Merias Wajah</v>
      </c>
      <c r="C18" s="9" t="str">
        <f>IFERROR(__xludf.DUMMYFUNCTION("""COMPUTED_VALUE"""),"SMK Negeri 3 Muna")</f>
        <v>SMK Negeri 3 Muna</v>
      </c>
      <c r="D18" s="9"/>
      <c r="E18" s="9"/>
      <c r="F18" s="9" t="str">
        <f>IFERROR(__xludf.DUMMYFUNCTION("""COMPUTED_VALUE"""),"WA ODE  NURWINDA")</f>
        <v>WA ODE  NURWINDA</v>
      </c>
      <c r="G18" s="9" t="str">
        <f>IFERROR(__xludf.DUMMYFUNCTION("""COMPUTED_VALUE"""),"7403186108060001")</f>
        <v>7403186108060001</v>
      </c>
      <c r="H18" s="9"/>
      <c r="I18" s="9"/>
      <c r="J18" s="10" t="str">
        <f>IFERROR(__xludf.DUMMYFUNCTION("""COMPUTED_VALUE"""),"PEREMPUAN")</f>
        <v>PEREMPUAN</v>
      </c>
      <c r="K18" s="9"/>
      <c r="L18" s="9"/>
      <c r="M18" s="9"/>
      <c r="N18" s="8" t="s">
        <v>19</v>
      </c>
      <c r="O18" s="9"/>
      <c r="P18" s="9"/>
      <c r="Q18" s="9"/>
      <c r="R18" s="10" t="str">
        <f>IFERROR(__xludf.DUMMYFUNCTION("""COMPUTED_VALUE"""),"K")</f>
        <v>K</v>
      </c>
      <c r="S18" s="8" t="s">
        <v>20</v>
      </c>
    </row>
    <row r="19" ht="22.5" customHeight="1">
      <c r="A19" s="6">
        <v>18.0</v>
      </c>
      <c r="B19" s="9" t="str">
        <f>IFERROR(__xludf.DUMMYFUNCTION("""COMPUTED_VALUE"""),"Merias Wajah")</f>
        <v>Merias Wajah</v>
      </c>
      <c r="C19" s="9" t="str">
        <f>IFERROR(__xludf.DUMMYFUNCTION("""COMPUTED_VALUE"""),"SMK Negeri 3 Muna")</f>
        <v>SMK Negeri 3 Muna</v>
      </c>
      <c r="D19" s="9"/>
      <c r="E19" s="9"/>
      <c r="F19" s="9" t="str">
        <f>IFERROR(__xludf.DUMMYFUNCTION("""COMPUTED_VALUE"""),"WILDA URIKSAPUTRI FARSAN, S.Pd.")</f>
        <v>WILDA URIKSAPUTRI FARSAN, S.Pd.</v>
      </c>
      <c r="G19" s="9" t="str">
        <f>IFERROR(__xludf.DUMMYFUNCTION("""COMPUTED_VALUE"""),"7403106203990201")</f>
        <v>7403106203990201</v>
      </c>
      <c r="H19" s="9"/>
      <c r="I19" s="9"/>
      <c r="J19" s="10" t="str">
        <f>IFERROR(__xludf.DUMMYFUNCTION("""COMPUTED_VALUE"""),"PEREMPUAN")</f>
        <v>PEREMPUAN</v>
      </c>
      <c r="K19" s="9"/>
      <c r="L19" s="9"/>
      <c r="M19" s="9"/>
      <c r="N19" s="8" t="s">
        <v>19</v>
      </c>
      <c r="O19" s="9"/>
      <c r="P19" s="9"/>
      <c r="Q19" s="9"/>
      <c r="R19" s="10" t="str">
        <f>IFERROR(__xludf.DUMMYFUNCTION("""COMPUTED_VALUE"""),"K")</f>
        <v>K</v>
      </c>
      <c r="S19" s="8" t="s">
        <v>20</v>
      </c>
    </row>
    <row r="20" ht="22.5" customHeight="1">
      <c r="A20" s="6">
        <v>19.0</v>
      </c>
      <c r="B20" s="9" t="str">
        <f>IFERROR(__xludf.DUMMYFUNCTION("""COMPUTED_VALUE"""),"Merias Wajah")</f>
        <v>Merias Wajah</v>
      </c>
      <c r="C20" s="9" t="str">
        <f>IFERROR(__xludf.DUMMYFUNCTION("""COMPUTED_VALUE"""),"SMK Negeri 3 Muna")</f>
        <v>SMK Negeri 3 Muna</v>
      </c>
      <c r="D20" s="9"/>
      <c r="E20" s="9"/>
      <c r="F20" s="9" t="str">
        <f>IFERROR(__xludf.DUMMYFUNCTION("""COMPUTED_VALUE"""),"MUHAMAD IDUL, S.Pd.")</f>
        <v>MUHAMAD IDUL, S.Pd.</v>
      </c>
      <c r="G20" s="9" t="str">
        <f>IFERROR(__xludf.DUMMYFUNCTION("""COMPUTED_VALUE"""),"7403101901990201")</f>
        <v>7403101901990201</v>
      </c>
      <c r="H20" s="9"/>
      <c r="I20" s="9"/>
      <c r="J20" s="10" t="str">
        <f>IFERROR(__xludf.DUMMYFUNCTION("""COMPUTED_VALUE"""),"LAKI-LAKI")</f>
        <v>LAKI-LAKI</v>
      </c>
      <c r="K20" s="9"/>
      <c r="L20" s="9"/>
      <c r="M20" s="9"/>
      <c r="N20" s="8" t="s">
        <v>19</v>
      </c>
      <c r="O20" s="9"/>
      <c r="P20" s="9"/>
      <c r="Q20" s="9"/>
      <c r="R20" s="10" t="str">
        <f>IFERROR(__xludf.DUMMYFUNCTION("""COMPUTED_VALUE"""),"K")</f>
        <v>K</v>
      </c>
      <c r="S20" s="8" t="s">
        <v>20</v>
      </c>
    </row>
    <row r="21" ht="22.5" customHeight="1">
      <c r="A21" s="6">
        <v>20.0</v>
      </c>
      <c r="B21" s="9" t="str">
        <f>IFERROR(__xludf.DUMMYFUNCTION("""COMPUTED_VALUE"""),"Desainer Grafis Muda")</f>
        <v>Desainer Grafis Muda</v>
      </c>
      <c r="C21" s="9" t="str">
        <f>IFERROR(__xludf.DUMMYFUNCTION("""COMPUTED_VALUE"""),"SMK Negeri 3 Muna")</f>
        <v>SMK Negeri 3 Muna</v>
      </c>
      <c r="D21" s="9"/>
      <c r="E21" s="9"/>
      <c r="F21" s="9" t="str">
        <f>IFERROR(__xludf.DUMMYFUNCTION("""COMPUTED_VALUE"""),"AISYAH ADZRA BAZZAR")</f>
        <v>AISYAH ADZRA BAZZAR</v>
      </c>
      <c r="G21" s="9" t="str">
        <f>IFERROR(__xludf.DUMMYFUNCTION("""COMPUTED_VALUE"""),"7403074406080001")</f>
        <v>7403074406080001</v>
      </c>
      <c r="H21" s="9"/>
      <c r="I21" s="9"/>
      <c r="J21" s="10" t="str">
        <f>IFERROR(__xludf.DUMMYFUNCTION("""COMPUTED_VALUE"""),"PEREMPUAN")</f>
        <v>PEREMPUAN</v>
      </c>
      <c r="K21" s="9"/>
      <c r="L21" s="9"/>
      <c r="M21" s="9"/>
      <c r="N21" s="8" t="s">
        <v>19</v>
      </c>
      <c r="O21" s="9"/>
      <c r="P21" s="9"/>
      <c r="Q21" s="9"/>
      <c r="R21" s="10" t="str">
        <f>IFERROR(__xludf.DUMMYFUNCTION("""COMPUTED_VALUE"""),"K")</f>
        <v>K</v>
      </c>
      <c r="S21" s="8" t="s">
        <v>20</v>
      </c>
    </row>
    <row r="22" ht="22.5" customHeight="1">
      <c r="A22" s="6">
        <v>21.0</v>
      </c>
      <c r="B22" s="9" t="str">
        <f>IFERROR(__xludf.DUMMYFUNCTION("""COMPUTED_VALUE"""),"Desainer Grafis Muda")</f>
        <v>Desainer Grafis Muda</v>
      </c>
      <c r="C22" s="9" t="str">
        <f>IFERROR(__xludf.DUMMYFUNCTION("""COMPUTED_VALUE"""),"SMK Negeri 3 Muna")</f>
        <v>SMK Negeri 3 Muna</v>
      </c>
      <c r="D22" s="9"/>
      <c r="E22" s="9"/>
      <c r="F22" s="9" t="str">
        <f>IFERROR(__xludf.DUMMYFUNCTION("""COMPUTED_VALUE"""),"DELIA ANGGRAENI")</f>
        <v>DELIA ANGGRAENI</v>
      </c>
      <c r="G22" s="9" t="str">
        <f>IFERROR(__xludf.DUMMYFUNCTION("""COMPUTED_VALUE"""),"7403186009080001")</f>
        <v>7403186009080001</v>
      </c>
      <c r="H22" s="9"/>
      <c r="I22" s="9"/>
      <c r="J22" s="10" t="str">
        <f>IFERROR(__xludf.DUMMYFUNCTION("""COMPUTED_VALUE"""),"PEREMPUAN")</f>
        <v>PEREMPUAN</v>
      </c>
      <c r="K22" s="9"/>
      <c r="L22" s="9"/>
      <c r="M22" s="9"/>
      <c r="N22" s="8" t="s">
        <v>19</v>
      </c>
      <c r="O22" s="9"/>
      <c r="P22" s="9"/>
      <c r="Q22" s="9"/>
      <c r="R22" s="10" t="str">
        <f>IFERROR(__xludf.DUMMYFUNCTION("""COMPUTED_VALUE"""),"K")</f>
        <v>K</v>
      </c>
      <c r="S22" s="8" t="s">
        <v>20</v>
      </c>
    </row>
    <row r="23" ht="22.5" customHeight="1">
      <c r="A23" s="6">
        <v>22.0</v>
      </c>
      <c r="B23" s="9" t="str">
        <f>IFERROR(__xludf.DUMMYFUNCTION("""COMPUTED_VALUE"""),"Desainer Grafis Muda")</f>
        <v>Desainer Grafis Muda</v>
      </c>
      <c r="C23" s="9" t="str">
        <f>IFERROR(__xludf.DUMMYFUNCTION("""COMPUTED_VALUE"""),"SMK Negeri 3 Muna")</f>
        <v>SMK Negeri 3 Muna</v>
      </c>
      <c r="D23" s="9"/>
      <c r="E23" s="9"/>
      <c r="F23" s="9" t="str">
        <f>IFERROR(__xludf.DUMMYFUNCTION("""COMPUTED_VALUE"""),"DENI JULIANTORO")</f>
        <v>DENI JULIANTORO</v>
      </c>
      <c r="G23" s="9" t="str">
        <f>IFERROR(__xludf.DUMMYFUNCTION("""COMPUTED_VALUE"""),"7403065004080001")</f>
        <v>7403065004080001</v>
      </c>
      <c r="H23" s="9"/>
      <c r="I23" s="9"/>
      <c r="J23" s="10" t="str">
        <f>IFERROR(__xludf.DUMMYFUNCTION("""COMPUTED_VALUE"""),"PEREMPUAN")</f>
        <v>PEREMPUAN</v>
      </c>
      <c r="K23" s="9"/>
      <c r="L23" s="9"/>
      <c r="M23" s="9"/>
      <c r="N23" s="8" t="s">
        <v>19</v>
      </c>
      <c r="O23" s="9"/>
      <c r="P23" s="9"/>
      <c r="Q23" s="9"/>
      <c r="R23" s="10" t="str">
        <f>IFERROR(__xludf.DUMMYFUNCTION("""COMPUTED_VALUE"""),"K")</f>
        <v>K</v>
      </c>
      <c r="S23" s="8" t="s">
        <v>20</v>
      </c>
    </row>
    <row r="24" ht="22.5" customHeight="1">
      <c r="A24" s="6">
        <v>23.0</v>
      </c>
      <c r="B24" s="9" t="str">
        <f>IFERROR(__xludf.DUMMYFUNCTION("""COMPUTED_VALUE"""),"Desainer Grafis Muda")</f>
        <v>Desainer Grafis Muda</v>
      </c>
      <c r="C24" s="9" t="str">
        <f>IFERROR(__xludf.DUMMYFUNCTION("""COMPUTED_VALUE"""),"SMK Negeri 3 Muna")</f>
        <v>SMK Negeri 3 Muna</v>
      </c>
      <c r="D24" s="9"/>
      <c r="E24" s="9"/>
      <c r="F24" s="9" t="str">
        <f>IFERROR(__xludf.DUMMYFUNCTION("""COMPUTED_VALUE"""),"DZULHIJJAH  NURUL  AINI")</f>
        <v>DZULHIJJAH  NURUL  AINI</v>
      </c>
      <c r="G24" s="9" t="str">
        <f>IFERROR(__xludf.DUMMYFUNCTION("""COMPUTED_VALUE"""),"7403135708080001")</f>
        <v>7403135708080001</v>
      </c>
      <c r="H24" s="9"/>
      <c r="I24" s="9"/>
      <c r="J24" s="10" t="str">
        <f>IFERROR(__xludf.DUMMYFUNCTION("""COMPUTED_VALUE"""),"PEREMPUAN")</f>
        <v>PEREMPUAN</v>
      </c>
      <c r="K24" s="9"/>
      <c r="L24" s="9"/>
      <c r="M24" s="9"/>
      <c r="N24" s="8" t="s">
        <v>19</v>
      </c>
      <c r="O24" s="9"/>
      <c r="P24" s="9"/>
      <c r="Q24" s="9"/>
      <c r="R24" s="10" t="str">
        <f>IFERROR(__xludf.DUMMYFUNCTION("""COMPUTED_VALUE"""),"K")</f>
        <v>K</v>
      </c>
      <c r="S24" s="8" t="s">
        <v>20</v>
      </c>
    </row>
    <row r="25" ht="22.5" customHeight="1">
      <c r="A25" s="6">
        <v>24.0</v>
      </c>
      <c r="B25" s="9" t="str">
        <f>IFERROR(__xludf.DUMMYFUNCTION("""COMPUTED_VALUE"""),"Desainer Grafis Muda")</f>
        <v>Desainer Grafis Muda</v>
      </c>
      <c r="C25" s="9" t="str">
        <f>IFERROR(__xludf.DUMMYFUNCTION("""COMPUTED_VALUE"""),"SMK Negeri 3 Muna")</f>
        <v>SMK Negeri 3 Muna</v>
      </c>
      <c r="D25" s="9"/>
      <c r="E25" s="9"/>
      <c r="F25" s="9" t="str">
        <f>IFERROR(__xludf.DUMMYFUNCTION("""COMPUTED_VALUE"""),"EMILYA MARWAH MILANO")</f>
        <v>EMILYA MARWAH MILANO</v>
      </c>
      <c r="G25" s="9" t="str">
        <f>IFERROR(__xludf.DUMMYFUNCTION("""COMPUTED_VALUE"""),"7403136501080001")</f>
        <v>7403136501080001</v>
      </c>
      <c r="H25" s="9"/>
      <c r="I25" s="9"/>
      <c r="J25" s="10" t="str">
        <f>IFERROR(__xludf.DUMMYFUNCTION("""COMPUTED_VALUE"""),"PEREMPUAN")</f>
        <v>PEREMPUAN</v>
      </c>
      <c r="K25" s="9"/>
      <c r="L25" s="9"/>
      <c r="M25" s="9"/>
      <c r="N25" s="8" t="s">
        <v>19</v>
      </c>
      <c r="O25" s="9"/>
      <c r="P25" s="9"/>
      <c r="Q25" s="9"/>
      <c r="R25" s="10" t="str">
        <f>IFERROR(__xludf.DUMMYFUNCTION("""COMPUTED_VALUE"""),"K")</f>
        <v>K</v>
      </c>
      <c r="S25" s="8" t="s">
        <v>20</v>
      </c>
    </row>
    <row r="26" ht="22.5" customHeight="1">
      <c r="A26" s="6">
        <v>25.0</v>
      </c>
      <c r="B26" s="9" t="str">
        <f>IFERROR(__xludf.DUMMYFUNCTION("""COMPUTED_VALUE"""),"Desainer Grafis Muda")</f>
        <v>Desainer Grafis Muda</v>
      </c>
      <c r="C26" s="9" t="str">
        <f>IFERROR(__xludf.DUMMYFUNCTION("""COMPUTED_VALUE"""),"SMK Negeri 3 Muna")</f>
        <v>SMK Negeri 3 Muna</v>
      </c>
      <c r="D26" s="9"/>
      <c r="E26" s="9"/>
      <c r="F26" s="9" t="str">
        <f>IFERROR(__xludf.DUMMYFUNCTION("""COMPUTED_VALUE"""),"FANESA ANINDYA")</f>
        <v>FANESA ANINDYA</v>
      </c>
      <c r="G26" s="9" t="str">
        <f>IFERROR(__xludf.DUMMYFUNCTION("""COMPUTED_VALUE"""),"7471025003090001")</f>
        <v>7471025003090001</v>
      </c>
      <c r="H26" s="9"/>
      <c r="I26" s="9"/>
      <c r="J26" s="10" t="str">
        <f>IFERROR(__xludf.DUMMYFUNCTION("""COMPUTED_VALUE"""),"PEREMPUAN")</f>
        <v>PEREMPUAN</v>
      </c>
      <c r="K26" s="9"/>
      <c r="L26" s="9"/>
      <c r="M26" s="9"/>
      <c r="N26" s="8" t="s">
        <v>19</v>
      </c>
      <c r="O26" s="9"/>
      <c r="P26" s="9"/>
      <c r="Q26" s="9"/>
      <c r="R26" s="10" t="str">
        <f>IFERROR(__xludf.DUMMYFUNCTION("""COMPUTED_VALUE"""),"K")</f>
        <v>K</v>
      </c>
      <c r="S26" s="8" t="s">
        <v>20</v>
      </c>
    </row>
    <row r="27" ht="22.5" customHeight="1">
      <c r="A27" s="6">
        <v>26.0</v>
      </c>
      <c r="B27" s="9" t="str">
        <f>IFERROR(__xludf.DUMMYFUNCTION("""COMPUTED_VALUE"""),"Desainer Grafis Muda")</f>
        <v>Desainer Grafis Muda</v>
      </c>
      <c r="C27" s="9" t="str">
        <f>IFERROR(__xludf.DUMMYFUNCTION("""COMPUTED_VALUE"""),"SMK Negeri 3 Muna")</f>
        <v>SMK Negeri 3 Muna</v>
      </c>
      <c r="D27" s="9"/>
      <c r="E27" s="9"/>
      <c r="F27" s="9" t="str">
        <f>IFERROR(__xludf.DUMMYFUNCTION("""COMPUTED_VALUE"""),"FITRIANI")</f>
        <v>FITRIANI</v>
      </c>
      <c r="G27" s="9" t="str">
        <f>IFERROR(__xludf.DUMMYFUNCTION("""COMPUTED_VALUE"""),"7403176907080001")</f>
        <v>7403176907080001</v>
      </c>
      <c r="H27" s="9"/>
      <c r="I27" s="9"/>
      <c r="J27" s="10" t="str">
        <f>IFERROR(__xludf.DUMMYFUNCTION("""COMPUTED_VALUE"""),"PEREMPUAN")</f>
        <v>PEREMPUAN</v>
      </c>
      <c r="K27" s="9"/>
      <c r="L27" s="9"/>
      <c r="M27" s="9"/>
      <c r="N27" s="8" t="s">
        <v>19</v>
      </c>
      <c r="O27" s="9"/>
      <c r="P27" s="9"/>
      <c r="Q27" s="9"/>
      <c r="R27" s="10" t="str">
        <f>IFERROR(__xludf.DUMMYFUNCTION("""COMPUTED_VALUE"""),"K")</f>
        <v>K</v>
      </c>
      <c r="S27" s="8" t="s">
        <v>20</v>
      </c>
    </row>
    <row r="28" ht="22.5" customHeight="1">
      <c r="A28" s="6">
        <v>27.0</v>
      </c>
      <c r="B28" s="9" t="str">
        <f>IFERROR(__xludf.DUMMYFUNCTION("""COMPUTED_VALUE"""),"Desainer Grafis Muda")</f>
        <v>Desainer Grafis Muda</v>
      </c>
      <c r="C28" s="9" t="str">
        <f>IFERROR(__xludf.DUMMYFUNCTION("""COMPUTED_VALUE"""),"SMK Negeri 3 Muna")</f>
        <v>SMK Negeri 3 Muna</v>
      </c>
      <c r="D28" s="9"/>
      <c r="E28" s="9"/>
      <c r="F28" s="9" t="str">
        <f>IFERROR(__xludf.DUMMYFUNCTION("""COMPUTED_VALUE"""),"ILMIANI RAMADHAN")</f>
        <v>ILMIANI RAMADHAN</v>
      </c>
      <c r="G28" s="9" t="str">
        <f>IFERROR(__xludf.DUMMYFUNCTION("""COMPUTED_VALUE"""),"7403185006080003")</f>
        <v>7403185006080003</v>
      </c>
      <c r="H28" s="9"/>
      <c r="I28" s="9"/>
      <c r="J28" s="10" t="str">
        <f>IFERROR(__xludf.DUMMYFUNCTION("""COMPUTED_VALUE"""),"PEREMPUAN")</f>
        <v>PEREMPUAN</v>
      </c>
      <c r="K28" s="9"/>
      <c r="L28" s="9"/>
      <c r="M28" s="9"/>
      <c r="N28" s="8" t="s">
        <v>19</v>
      </c>
      <c r="O28" s="9"/>
      <c r="P28" s="9"/>
      <c r="Q28" s="9"/>
      <c r="R28" s="10" t="str">
        <f>IFERROR(__xludf.DUMMYFUNCTION("""COMPUTED_VALUE"""),"K")</f>
        <v>K</v>
      </c>
      <c r="S28" s="8" t="s">
        <v>20</v>
      </c>
    </row>
    <row r="29" ht="22.5" customHeight="1">
      <c r="A29" s="6">
        <v>28.0</v>
      </c>
      <c r="B29" s="9" t="str">
        <f>IFERROR(__xludf.DUMMYFUNCTION("""COMPUTED_VALUE"""),"Desainer Grafis Muda")</f>
        <v>Desainer Grafis Muda</v>
      </c>
      <c r="C29" s="9" t="str">
        <f>IFERROR(__xludf.DUMMYFUNCTION("""COMPUTED_VALUE"""),"SMK Negeri 3 Muna")</f>
        <v>SMK Negeri 3 Muna</v>
      </c>
      <c r="D29" s="9"/>
      <c r="E29" s="9"/>
      <c r="F29" s="9" t="str">
        <f>IFERROR(__xludf.DUMMYFUNCTION("""COMPUTED_VALUE"""),"NIA ANITA")</f>
        <v>NIA ANITA</v>
      </c>
      <c r="G29" s="9" t="str">
        <f>IFERROR(__xludf.DUMMYFUNCTION("""COMPUTED_VALUE"""),"7403175310070001")</f>
        <v>7403175310070001</v>
      </c>
      <c r="H29" s="9"/>
      <c r="I29" s="9"/>
      <c r="J29" s="10" t="str">
        <f>IFERROR(__xludf.DUMMYFUNCTION("""COMPUTED_VALUE"""),"PEREMPUAN")</f>
        <v>PEREMPUAN</v>
      </c>
      <c r="K29" s="9"/>
      <c r="L29" s="9"/>
      <c r="M29" s="9"/>
      <c r="N29" s="8" t="s">
        <v>19</v>
      </c>
      <c r="O29" s="9"/>
      <c r="P29" s="9"/>
      <c r="Q29" s="9"/>
      <c r="R29" s="10" t="str">
        <f>IFERROR(__xludf.DUMMYFUNCTION("""COMPUTED_VALUE"""),"K")</f>
        <v>K</v>
      </c>
      <c r="S29" s="8" t="s">
        <v>20</v>
      </c>
    </row>
    <row r="30" ht="22.5" customHeight="1">
      <c r="A30" s="6">
        <v>29.0</v>
      </c>
      <c r="B30" s="9" t="str">
        <f>IFERROR(__xludf.DUMMYFUNCTION("""COMPUTED_VALUE"""),"Desainer Grafis Muda")</f>
        <v>Desainer Grafis Muda</v>
      </c>
      <c r="C30" s="9" t="str">
        <f>IFERROR(__xludf.DUMMYFUNCTION("""COMPUTED_VALUE"""),"SMK Negeri 3 Muna")</f>
        <v>SMK Negeri 3 Muna</v>
      </c>
      <c r="D30" s="9"/>
      <c r="E30" s="9"/>
      <c r="F30" s="9" t="str">
        <f>IFERROR(__xludf.DUMMYFUNCTION("""COMPUTED_VALUE"""),"NOVIANTI")</f>
        <v>NOVIANTI</v>
      </c>
      <c r="G30" s="9" t="str">
        <f>IFERROR(__xludf.DUMMYFUNCTION("""COMPUTED_VALUE"""),"7403145906080002")</f>
        <v>7403145906080002</v>
      </c>
      <c r="H30" s="9"/>
      <c r="I30" s="9"/>
      <c r="J30" s="10" t="str">
        <f>IFERROR(__xludf.DUMMYFUNCTION("""COMPUTED_VALUE"""),"PEREMPUAN")</f>
        <v>PEREMPUAN</v>
      </c>
      <c r="K30" s="9"/>
      <c r="L30" s="9"/>
      <c r="M30" s="9"/>
      <c r="N30" s="8" t="s">
        <v>19</v>
      </c>
      <c r="O30" s="9"/>
      <c r="P30" s="9"/>
      <c r="Q30" s="9"/>
      <c r="R30" s="10" t="str">
        <f>IFERROR(__xludf.DUMMYFUNCTION("""COMPUTED_VALUE"""),"K")</f>
        <v>K</v>
      </c>
      <c r="S30" s="8" t="s">
        <v>20</v>
      </c>
    </row>
    <row r="31" ht="22.5" customHeight="1">
      <c r="A31" s="6">
        <v>30.0</v>
      </c>
      <c r="B31" s="9" t="str">
        <f>IFERROR(__xludf.DUMMYFUNCTION("""COMPUTED_VALUE"""),"Desainer Grafis Muda")</f>
        <v>Desainer Grafis Muda</v>
      </c>
      <c r="C31" s="9" t="str">
        <f>IFERROR(__xludf.DUMMYFUNCTION("""COMPUTED_VALUE"""),"SMK Negeri 3 Muna")</f>
        <v>SMK Negeri 3 Muna</v>
      </c>
      <c r="D31" s="9"/>
      <c r="E31" s="9"/>
      <c r="F31" s="9" t="str">
        <f>IFERROR(__xludf.DUMMYFUNCTION("""COMPUTED_VALUE"""),"NUR AYLA AZURA ANWAR")</f>
        <v>NUR AYLA AZURA ANWAR</v>
      </c>
      <c r="G31" s="9" t="str">
        <f>IFERROR(__xludf.DUMMYFUNCTION("""COMPUTED_VALUE"""),"7403124202080001")</f>
        <v>7403124202080001</v>
      </c>
      <c r="H31" s="9"/>
      <c r="I31" s="9"/>
      <c r="J31" s="10" t="str">
        <f>IFERROR(__xludf.DUMMYFUNCTION("""COMPUTED_VALUE"""),"PEREMPUAN")</f>
        <v>PEREMPUAN</v>
      </c>
      <c r="K31" s="9"/>
      <c r="L31" s="9"/>
      <c r="M31" s="9"/>
      <c r="N31" s="8" t="s">
        <v>19</v>
      </c>
      <c r="O31" s="9"/>
      <c r="P31" s="9"/>
      <c r="Q31" s="9"/>
      <c r="R31" s="10" t="str">
        <f>IFERROR(__xludf.DUMMYFUNCTION("""COMPUTED_VALUE"""),"K")</f>
        <v>K</v>
      </c>
      <c r="S31" s="8" t="s">
        <v>20</v>
      </c>
    </row>
    <row r="32" ht="22.5" customHeight="1">
      <c r="A32" s="6">
        <v>31.0</v>
      </c>
      <c r="B32" s="9" t="str">
        <f>IFERROR(__xludf.DUMMYFUNCTION("""COMPUTED_VALUE"""),"Desainer Grafis Muda")</f>
        <v>Desainer Grafis Muda</v>
      </c>
      <c r="C32" s="9" t="str">
        <f>IFERROR(__xludf.DUMMYFUNCTION("""COMPUTED_VALUE"""),"SMK Negeri 3 Muna")</f>
        <v>SMK Negeri 3 Muna</v>
      </c>
      <c r="D32" s="9"/>
      <c r="E32" s="9"/>
      <c r="F32" s="9" t="str">
        <f>IFERROR(__xludf.DUMMYFUNCTION("""COMPUTED_VALUE"""),"NUR ZAITUN")</f>
        <v>NUR ZAITUN</v>
      </c>
      <c r="G32" s="9" t="str">
        <f>IFERROR(__xludf.DUMMYFUNCTION("""COMPUTED_VALUE"""),"7403147003070201")</f>
        <v>7403147003070201</v>
      </c>
      <c r="H32" s="9"/>
      <c r="I32" s="9"/>
      <c r="J32" s="10" t="str">
        <f>IFERROR(__xludf.DUMMYFUNCTION("""COMPUTED_VALUE"""),"PEREMPUAN")</f>
        <v>PEREMPUAN</v>
      </c>
      <c r="K32" s="9"/>
      <c r="L32" s="9"/>
      <c r="M32" s="9"/>
      <c r="N32" s="8" t="s">
        <v>19</v>
      </c>
      <c r="O32" s="9"/>
      <c r="P32" s="9"/>
      <c r="Q32" s="9"/>
      <c r="R32" s="10" t="str">
        <f>IFERROR(__xludf.DUMMYFUNCTION("""COMPUTED_VALUE"""),"K")</f>
        <v>K</v>
      </c>
      <c r="S32" s="8" t="s">
        <v>20</v>
      </c>
    </row>
    <row r="33" ht="22.5" customHeight="1">
      <c r="A33" s="6">
        <v>32.0</v>
      </c>
      <c r="B33" s="9" t="str">
        <f>IFERROR(__xludf.DUMMYFUNCTION("""COMPUTED_VALUE"""),"Desainer Grafis Muda")</f>
        <v>Desainer Grafis Muda</v>
      </c>
      <c r="C33" s="9" t="str">
        <f>IFERROR(__xludf.DUMMYFUNCTION("""COMPUTED_VALUE"""),"SMK Negeri 3 Muna")</f>
        <v>SMK Negeri 3 Muna</v>
      </c>
      <c r="D33" s="9"/>
      <c r="E33" s="9"/>
      <c r="F33" s="9" t="str">
        <f>IFERROR(__xludf.DUMMYFUNCTION("""COMPUTED_VALUE"""),"PUPUT DWI ANGGRAINI")</f>
        <v>PUPUT DWI ANGGRAINI</v>
      </c>
      <c r="G33" s="9" t="str">
        <f>IFERROR(__xludf.DUMMYFUNCTION("""COMPUTED_VALUE"""),"7403161405080003")</f>
        <v>7403161405080003</v>
      </c>
      <c r="H33" s="9"/>
      <c r="I33" s="9"/>
      <c r="J33" s="10" t="str">
        <f>IFERROR(__xludf.DUMMYFUNCTION("""COMPUTED_VALUE"""),"LAKI-LAKI")</f>
        <v>LAKI-LAKI</v>
      </c>
      <c r="K33" s="9"/>
      <c r="L33" s="9"/>
      <c r="M33" s="9"/>
      <c r="N33" s="8" t="s">
        <v>19</v>
      </c>
      <c r="O33" s="9"/>
      <c r="P33" s="9"/>
      <c r="Q33" s="9"/>
      <c r="R33" s="10" t="str">
        <f>IFERROR(__xludf.DUMMYFUNCTION("""COMPUTED_VALUE"""),"K")</f>
        <v>K</v>
      </c>
      <c r="S33" s="8" t="s">
        <v>20</v>
      </c>
    </row>
    <row r="34" ht="22.5" customHeight="1">
      <c r="A34" s="6">
        <v>33.0</v>
      </c>
      <c r="B34" s="9" t="str">
        <f>IFERROR(__xludf.DUMMYFUNCTION("""COMPUTED_VALUE"""),"Desainer Grafis Muda")</f>
        <v>Desainer Grafis Muda</v>
      </c>
      <c r="C34" s="9" t="str">
        <f>IFERROR(__xludf.DUMMYFUNCTION("""COMPUTED_VALUE"""),"SMK Negeri 3 Muna")</f>
        <v>SMK Negeri 3 Muna</v>
      </c>
      <c r="D34" s="9"/>
      <c r="E34" s="9"/>
      <c r="F34" s="9" t="str">
        <f>IFERROR(__xludf.DUMMYFUNCTION("""COMPUTED_VALUE"""),"SHENDY APRILIA")</f>
        <v>SHENDY APRILIA</v>
      </c>
      <c r="G34" s="9" t="str">
        <f>IFERROR(__xludf.DUMMYFUNCTION("""COMPUTED_VALUE"""),"7403184311080002")</f>
        <v>7403184311080002</v>
      </c>
      <c r="H34" s="9"/>
      <c r="I34" s="9"/>
      <c r="J34" s="10" t="str">
        <f>IFERROR(__xludf.DUMMYFUNCTION("""COMPUTED_VALUE"""),"PEREMPUAN")</f>
        <v>PEREMPUAN</v>
      </c>
      <c r="K34" s="9"/>
      <c r="L34" s="9"/>
      <c r="M34" s="9"/>
      <c r="N34" s="8" t="s">
        <v>19</v>
      </c>
      <c r="O34" s="9"/>
      <c r="P34" s="9"/>
      <c r="Q34" s="9"/>
      <c r="R34" s="10" t="str">
        <f>IFERROR(__xludf.DUMMYFUNCTION("""COMPUTED_VALUE"""),"K")</f>
        <v>K</v>
      </c>
      <c r="S34" s="8" t="s">
        <v>20</v>
      </c>
    </row>
    <row r="35" ht="22.5" customHeight="1">
      <c r="A35" s="6">
        <v>34.0</v>
      </c>
      <c r="B35" s="9" t="str">
        <f>IFERROR(__xludf.DUMMYFUNCTION("""COMPUTED_VALUE"""),"Desainer Grafis Muda")</f>
        <v>Desainer Grafis Muda</v>
      </c>
      <c r="C35" s="9" t="str">
        <f>IFERROR(__xludf.DUMMYFUNCTION("""COMPUTED_VALUE"""),"SMK Negeri 3 Muna")</f>
        <v>SMK Negeri 3 Muna</v>
      </c>
      <c r="D35" s="9"/>
      <c r="E35" s="9"/>
      <c r="F35" s="9" t="str">
        <f>IFERROR(__xludf.DUMMYFUNCTION("""COMPUTED_VALUE"""),"SUYATMI")</f>
        <v>SUYATMI</v>
      </c>
      <c r="G35" s="9" t="str">
        <f>IFERROR(__xludf.DUMMYFUNCTION("""COMPUTED_VALUE"""),"7403144107070223")</f>
        <v>7403144107070223</v>
      </c>
      <c r="H35" s="9"/>
      <c r="I35" s="9"/>
      <c r="J35" s="10" t="str">
        <f>IFERROR(__xludf.DUMMYFUNCTION("""COMPUTED_VALUE"""),"PEREMPUAN")</f>
        <v>PEREMPUAN</v>
      </c>
      <c r="K35" s="9"/>
      <c r="L35" s="9"/>
      <c r="M35" s="9"/>
      <c r="N35" s="8" t="s">
        <v>19</v>
      </c>
      <c r="O35" s="9"/>
      <c r="P35" s="9"/>
      <c r="Q35" s="9"/>
      <c r="R35" s="10" t="str">
        <f>IFERROR(__xludf.DUMMYFUNCTION("""COMPUTED_VALUE"""),"K")</f>
        <v>K</v>
      </c>
      <c r="S35" s="8" t="s">
        <v>20</v>
      </c>
    </row>
    <row r="36" ht="22.5" customHeight="1">
      <c r="A36" s="6">
        <v>35.0</v>
      </c>
      <c r="B36" s="9" t="str">
        <f>IFERROR(__xludf.DUMMYFUNCTION("""COMPUTED_VALUE"""),"Desainer Grafis Muda")</f>
        <v>Desainer Grafis Muda</v>
      </c>
      <c r="C36" s="9" t="str">
        <f>IFERROR(__xludf.DUMMYFUNCTION("""COMPUTED_VALUE"""),"SMK Negeri 3 Muna")</f>
        <v>SMK Negeri 3 Muna</v>
      </c>
      <c r="D36" s="9"/>
      <c r="E36" s="9"/>
      <c r="F36" s="9" t="str">
        <f>IFERROR(__xludf.DUMMYFUNCTION("""COMPUTED_VALUE"""),"TIZI AMRITA")</f>
        <v>TIZI AMRITA</v>
      </c>
      <c r="G36" s="9" t="str">
        <f>IFERROR(__xludf.DUMMYFUNCTION("""COMPUTED_VALUE"""),"7403156807080001")</f>
        <v>7403156807080001</v>
      </c>
      <c r="H36" s="9"/>
      <c r="I36" s="9"/>
      <c r="J36" s="10" t="str">
        <f>IFERROR(__xludf.DUMMYFUNCTION("""COMPUTED_VALUE"""),"PEREMPUAN")</f>
        <v>PEREMPUAN</v>
      </c>
      <c r="K36" s="9"/>
      <c r="L36" s="9"/>
      <c r="M36" s="9"/>
      <c r="N36" s="8" t="s">
        <v>19</v>
      </c>
      <c r="O36" s="9"/>
      <c r="P36" s="9"/>
      <c r="Q36" s="9"/>
      <c r="R36" s="10" t="str">
        <f>IFERROR(__xludf.DUMMYFUNCTION("""COMPUTED_VALUE"""),"K")</f>
        <v>K</v>
      </c>
      <c r="S36" s="8" t="s">
        <v>20</v>
      </c>
    </row>
    <row r="37" ht="22.5" customHeight="1">
      <c r="A37" s="6">
        <v>36.0</v>
      </c>
      <c r="B37" s="9" t="str">
        <f>IFERROR(__xludf.DUMMYFUNCTION("""COMPUTED_VALUE"""),"Desainer Grafis Muda")</f>
        <v>Desainer Grafis Muda</v>
      </c>
      <c r="C37" s="9" t="str">
        <f>IFERROR(__xludf.DUMMYFUNCTION("""COMPUTED_VALUE"""),"SMK Negeri 3 Muna")</f>
        <v>SMK Negeri 3 Muna</v>
      </c>
      <c r="D37" s="9"/>
      <c r="E37" s="9"/>
      <c r="F37" s="9" t="str">
        <f>IFERROR(__xludf.DUMMYFUNCTION("""COMPUTED_VALUE"""),"WAHYU  NUR  ALAM")</f>
        <v>WAHYU  NUR  ALAM</v>
      </c>
      <c r="G37" s="9" t="str">
        <f>IFERROR(__xludf.DUMMYFUNCTION("""COMPUTED_VALUE"""),"7403156308090001")</f>
        <v>7403156308090001</v>
      </c>
      <c r="H37" s="9"/>
      <c r="I37" s="9"/>
      <c r="J37" s="10" t="str">
        <f>IFERROR(__xludf.DUMMYFUNCTION("""COMPUTED_VALUE"""),"PEREMPUAN")</f>
        <v>PEREMPUAN</v>
      </c>
      <c r="K37" s="9"/>
      <c r="L37" s="9"/>
      <c r="M37" s="9"/>
      <c r="N37" s="8" t="s">
        <v>19</v>
      </c>
      <c r="O37" s="9"/>
      <c r="P37" s="9"/>
      <c r="Q37" s="9"/>
      <c r="R37" s="10" t="str">
        <f>IFERROR(__xludf.DUMMYFUNCTION("""COMPUTED_VALUE"""),"K")</f>
        <v>K</v>
      </c>
      <c r="S37" s="8" t="s">
        <v>20</v>
      </c>
    </row>
    <row r="38" ht="22.5" customHeight="1">
      <c r="A38" s="6">
        <v>37.0</v>
      </c>
      <c r="B38" s="9" t="str">
        <f>IFERROR(__xludf.DUMMYFUNCTION("""COMPUTED_VALUE"""),"Desainer Grafis Muda")</f>
        <v>Desainer Grafis Muda</v>
      </c>
      <c r="C38" s="9" t="str">
        <f>IFERROR(__xludf.DUMMYFUNCTION("""COMPUTED_VALUE"""),"SMK Negeri 3 Muna")</f>
        <v>SMK Negeri 3 Muna</v>
      </c>
      <c r="D38" s="9"/>
      <c r="E38" s="9"/>
      <c r="F38" s="9" t="str">
        <f>IFERROR(__xludf.DUMMYFUNCTION("""COMPUTED_VALUE"""),"MARTISARI, S.Pd.")</f>
        <v>MARTISARI, S.Pd.</v>
      </c>
      <c r="G38" s="9" t="str">
        <f>IFERROR(__xludf.DUMMYFUNCTION("""COMPUTED_VALUE"""),"7403196310880001")</f>
        <v>7403196310880001</v>
      </c>
      <c r="H38" s="9"/>
      <c r="I38" s="9"/>
      <c r="J38" s="10" t="str">
        <f>IFERROR(__xludf.DUMMYFUNCTION("""COMPUTED_VALUE"""),"PEREMPUAN")</f>
        <v>PEREMPUAN</v>
      </c>
      <c r="K38" s="9"/>
      <c r="L38" s="9"/>
      <c r="M38" s="9"/>
      <c r="N38" s="8" t="s">
        <v>19</v>
      </c>
      <c r="O38" s="9"/>
      <c r="P38" s="9"/>
      <c r="Q38" s="9"/>
      <c r="R38" s="10" t="str">
        <f>IFERROR(__xludf.DUMMYFUNCTION("""COMPUTED_VALUE"""),"K")</f>
        <v>K</v>
      </c>
      <c r="S38" s="8" t="s">
        <v>20</v>
      </c>
    </row>
    <row r="39" ht="22.5" customHeight="1">
      <c r="A39" s="6">
        <v>38.0</v>
      </c>
      <c r="B39" s="9" t="str">
        <f>IFERROR(__xludf.DUMMYFUNCTION("""COMPUTED_VALUE"""),"Desainer Grafis Muda")</f>
        <v>Desainer Grafis Muda</v>
      </c>
      <c r="C39" s="9" t="str">
        <f>IFERROR(__xludf.DUMMYFUNCTION("""COMPUTED_VALUE"""),"SMK Negeri 3 Muna")</f>
        <v>SMK Negeri 3 Muna</v>
      </c>
      <c r="D39" s="9"/>
      <c r="E39" s="9"/>
      <c r="F39" s="9" t="str">
        <f>IFERROR(__xludf.DUMMYFUNCTION("""COMPUTED_VALUE"""),"WAODE AMALIA, S.Pd.")</f>
        <v>WAODE AMALIA, S.Pd.</v>
      </c>
      <c r="G39" s="9" t="str">
        <f>IFERROR(__xludf.DUMMYFUNCTION("""COMPUTED_VALUE"""),"7471016808940001")</f>
        <v>7471016808940001</v>
      </c>
      <c r="H39" s="9"/>
      <c r="I39" s="9"/>
      <c r="J39" s="10" t="str">
        <f>IFERROR(__xludf.DUMMYFUNCTION("""COMPUTED_VALUE"""),"PEREMPUAN")</f>
        <v>PEREMPUAN</v>
      </c>
      <c r="K39" s="9"/>
      <c r="L39" s="9"/>
      <c r="M39" s="9"/>
      <c r="N39" s="8" t="s">
        <v>19</v>
      </c>
      <c r="O39" s="9"/>
      <c r="P39" s="9"/>
      <c r="Q39" s="9"/>
      <c r="R39" s="10" t="str">
        <f>IFERROR(__xludf.DUMMYFUNCTION("""COMPUTED_VALUE"""),"K")</f>
        <v>K</v>
      </c>
      <c r="S39" s="8" t="s">
        <v>20</v>
      </c>
    </row>
    <row r="40" ht="22.5" customHeight="1">
      <c r="A40" s="6">
        <v>39.0</v>
      </c>
      <c r="B40" s="9" t="str">
        <f>IFERROR(__xludf.DUMMYFUNCTION("""COMPUTED_VALUE"""),"Desainer Grafis Muda")</f>
        <v>Desainer Grafis Muda</v>
      </c>
      <c r="C40" s="9" t="str">
        <f>IFERROR(__xludf.DUMMYFUNCTION("""COMPUTED_VALUE"""),"SMK Negeri 3 Muna")</f>
        <v>SMK Negeri 3 Muna</v>
      </c>
      <c r="D40" s="9"/>
      <c r="E40" s="9"/>
      <c r="F40" s="9" t="str">
        <f>IFERROR(__xludf.DUMMYFUNCTION("""COMPUTED_VALUE"""),"MILDA NOSEISE, S.Pd.")</f>
        <v>MILDA NOSEISE, S.Pd.</v>
      </c>
      <c r="G40" s="9" t="str">
        <f>IFERROR(__xludf.DUMMYFUNCTION("""COMPUTED_VALUE"""),"7403127012980201")</f>
        <v>7403127012980201</v>
      </c>
      <c r="H40" s="9"/>
      <c r="I40" s="9"/>
      <c r="J40" s="10" t="str">
        <f>IFERROR(__xludf.DUMMYFUNCTION("""COMPUTED_VALUE"""),"PEREMPUAN")</f>
        <v>PEREMPUAN</v>
      </c>
      <c r="K40" s="9"/>
      <c r="L40" s="9"/>
      <c r="M40" s="9"/>
      <c r="N40" s="8" t="s">
        <v>19</v>
      </c>
      <c r="O40" s="9"/>
      <c r="P40" s="9"/>
      <c r="Q40" s="9"/>
      <c r="R40" s="10" t="str">
        <f>IFERROR(__xludf.DUMMYFUNCTION("""COMPUTED_VALUE"""),"K")</f>
        <v>K</v>
      </c>
      <c r="S40" s="8" t="s">
        <v>20</v>
      </c>
    </row>
    <row r="41" ht="22.5" customHeight="1">
      <c r="A41" s="6">
        <v>40.0</v>
      </c>
      <c r="B41" s="9" t="str">
        <f>IFERROR(__xludf.DUMMYFUNCTION("""COMPUTED_VALUE"""),"Desainer Grafis Muda")</f>
        <v>Desainer Grafis Muda</v>
      </c>
      <c r="C41" s="9" t="str">
        <f>IFERROR(__xludf.DUMMYFUNCTION("""COMPUTED_VALUE"""),"SMK Negeri 3 Muna")</f>
        <v>SMK Negeri 3 Muna</v>
      </c>
      <c r="D41" s="9"/>
      <c r="E41" s="9"/>
      <c r="F41" s="9" t="str">
        <f>IFERROR(__xludf.DUMMYFUNCTION("""COMPUTED_VALUE"""),"SATRYANI, S.Kom.")</f>
        <v>SATRYANI, S.Kom.</v>
      </c>
      <c r="G41" s="9" t="str">
        <f>IFERROR(__xludf.DUMMYFUNCTION("""COMPUTED_VALUE"""),"7403166909930001")</f>
        <v>7403166909930001</v>
      </c>
      <c r="H41" s="9"/>
      <c r="I41" s="9"/>
      <c r="J41" s="10" t="str">
        <f>IFERROR(__xludf.DUMMYFUNCTION("""COMPUTED_VALUE"""),"PEREMPUAN")</f>
        <v>PEREMPUAN</v>
      </c>
      <c r="K41" s="9"/>
      <c r="L41" s="9"/>
      <c r="M41" s="9"/>
      <c r="N41" s="8" t="s">
        <v>19</v>
      </c>
      <c r="O41" s="9"/>
      <c r="P41" s="9"/>
      <c r="Q41" s="9"/>
      <c r="R41" s="10" t="str">
        <f>IFERROR(__xludf.DUMMYFUNCTION("""COMPUTED_VALUE"""),"K")</f>
        <v>K</v>
      </c>
      <c r="S41" s="8" t="s">
        <v>20</v>
      </c>
    </row>
    <row r="42" ht="22.5" customHeight="1">
      <c r="A42" s="6">
        <v>41.0</v>
      </c>
      <c r="B42" s="9" t="str">
        <f>IFERROR(__xludf.DUMMYFUNCTION("""COMPUTED_VALUE"""),"Desainer Grafis Muda")</f>
        <v>Desainer Grafis Muda</v>
      </c>
      <c r="C42" s="9" t="str">
        <f>IFERROR(__xludf.DUMMYFUNCTION("""COMPUTED_VALUE"""),"SMK Negeri 3 Muna")</f>
        <v>SMK Negeri 3 Muna</v>
      </c>
      <c r="D42" s="9"/>
      <c r="E42" s="9"/>
      <c r="F42" s="9" t="str">
        <f>IFERROR(__xludf.DUMMYFUNCTION("""COMPUTED_VALUE"""),"NONA, S.Pd.")</f>
        <v>NONA, S.Pd.</v>
      </c>
      <c r="G42" s="9" t="str">
        <f>IFERROR(__xludf.DUMMYFUNCTION("""COMPUTED_VALUE"""),"7403144409000003")</f>
        <v>7403144409000003</v>
      </c>
      <c r="H42" s="9"/>
      <c r="I42" s="9"/>
      <c r="J42" s="10" t="str">
        <f>IFERROR(__xludf.DUMMYFUNCTION("""COMPUTED_VALUE"""),"PEREMPUAN")</f>
        <v>PEREMPUAN</v>
      </c>
      <c r="K42" s="9"/>
      <c r="L42" s="9"/>
      <c r="M42" s="9"/>
      <c r="N42" s="8" t="s">
        <v>19</v>
      </c>
      <c r="O42" s="9"/>
      <c r="P42" s="9"/>
      <c r="Q42" s="9"/>
      <c r="R42" s="10" t="str">
        <f>IFERROR(__xludf.DUMMYFUNCTION("""COMPUTED_VALUE"""),"K")</f>
        <v>K</v>
      </c>
      <c r="S42" s="8" t="s">
        <v>20</v>
      </c>
    </row>
    <row r="43" ht="22.5" customHeight="1">
      <c r="A43" s="6">
        <v>42.0</v>
      </c>
      <c r="B43" s="9" t="str">
        <f>IFERROR(__xludf.DUMMYFUNCTION("""COMPUTED_VALUE"""),"Desainer Grafis Muda")</f>
        <v>Desainer Grafis Muda</v>
      </c>
      <c r="C43" s="9" t="str">
        <f>IFERROR(__xludf.DUMMYFUNCTION("""COMPUTED_VALUE"""),"SMK Negeri 3 Muna")</f>
        <v>SMK Negeri 3 Muna</v>
      </c>
      <c r="D43" s="9"/>
      <c r="E43" s="9"/>
      <c r="F43" s="9" t="str">
        <f>IFERROR(__xludf.DUMMYFUNCTION("""COMPUTED_VALUE"""),"LA ODE RAHMAT ANDRE PRATAMA, S.T.")</f>
        <v>LA ODE RAHMAT ANDRE PRATAMA, S.T.</v>
      </c>
      <c r="G43" s="9" t="str">
        <f>IFERROR(__xludf.DUMMYFUNCTION("""COMPUTED_VALUE"""),"7403163004000001")</f>
        <v>7403163004000001</v>
      </c>
      <c r="H43" s="9"/>
      <c r="I43" s="9"/>
      <c r="J43" s="10" t="str">
        <f>IFERROR(__xludf.DUMMYFUNCTION("""COMPUTED_VALUE"""),"LAKI-LAKI")</f>
        <v>LAKI-LAKI</v>
      </c>
      <c r="K43" s="9"/>
      <c r="L43" s="9"/>
      <c r="M43" s="9"/>
      <c r="N43" s="8" t="s">
        <v>19</v>
      </c>
      <c r="O43" s="9"/>
      <c r="P43" s="9"/>
      <c r="Q43" s="9"/>
      <c r="R43" s="10" t="str">
        <f>IFERROR(__xludf.DUMMYFUNCTION("""COMPUTED_VALUE"""),"K")</f>
        <v>K</v>
      </c>
      <c r="S43" s="8" t="s">
        <v>20</v>
      </c>
    </row>
    <row r="44" ht="22.5" customHeight="1">
      <c r="A44" s="6">
        <v>43.0</v>
      </c>
      <c r="B44" s="9" t="str">
        <f>IFERROR(__xludf.DUMMYFUNCTION("""COMPUTED_VALUE"""),"Menjahit Pakaian Wanita Dewasa")</f>
        <v>Menjahit Pakaian Wanita Dewasa</v>
      </c>
      <c r="C44" s="9" t="str">
        <f>IFERROR(__xludf.DUMMYFUNCTION("""COMPUTED_VALUE"""),"SMK Negeri 3 Muna")</f>
        <v>SMK Negeri 3 Muna</v>
      </c>
      <c r="D44" s="9"/>
      <c r="E44" s="9"/>
      <c r="F44" s="9" t="str">
        <f>IFERROR(__xludf.DUMMYFUNCTION("""COMPUTED_VALUE"""),"ADEL  CHRISTIANI")</f>
        <v>ADEL  CHRISTIANI</v>
      </c>
      <c r="G44" s="9" t="str">
        <f>IFERROR(__xludf.DUMMYFUNCTION("""COMPUTED_VALUE"""),"7403074406080001")</f>
        <v>7403074406080001</v>
      </c>
      <c r="H44" s="9"/>
      <c r="I44" s="9"/>
      <c r="J44" s="10" t="str">
        <f>IFERROR(__xludf.DUMMYFUNCTION("""COMPUTED_VALUE"""),"PEREMPUAN")</f>
        <v>PEREMPUAN</v>
      </c>
      <c r="K44" s="9" t="str">
        <f>IFERROR(__xludf.DUMMYFUNCTION("""COMPUTED_VALUE"""),"Jl. Jenderal Sudirman No. 8")</f>
        <v>Jl. Jenderal Sudirman No. 8</v>
      </c>
      <c r="L44" s="9"/>
      <c r="M44" s="9"/>
      <c r="N44" s="8" t="s">
        <v>19</v>
      </c>
      <c r="O44" s="9"/>
      <c r="P44" s="9"/>
      <c r="Q44" s="9"/>
      <c r="R44" s="10" t="str">
        <f>IFERROR(__xludf.DUMMYFUNCTION("""COMPUTED_VALUE"""),"K")</f>
        <v>K</v>
      </c>
      <c r="S44" s="8" t="s">
        <v>20</v>
      </c>
    </row>
    <row r="45" ht="22.5" customHeight="1">
      <c r="A45" s="6">
        <v>44.0</v>
      </c>
      <c r="B45" s="9" t="str">
        <f>IFERROR(__xludf.DUMMYFUNCTION("""COMPUTED_VALUE"""),"Menjahit Pakaian Wanita Dewasa")</f>
        <v>Menjahit Pakaian Wanita Dewasa</v>
      </c>
      <c r="C45" s="9" t="str">
        <f>IFERROR(__xludf.DUMMYFUNCTION("""COMPUTED_VALUE"""),"SMK Negeri 3 Muna")</f>
        <v>SMK Negeri 3 Muna</v>
      </c>
      <c r="D45" s="9"/>
      <c r="E45" s="9"/>
      <c r="F45" s="9" t="str">
        <f>IFERROR(__xludf.DUMMYFUNCTION("""COMPUTED_VALUE"""),"AKILA ZATIL IZA")</f>
        <v>AKILA ZATIL IZA</v>
      </c>
      <c r="G45" s="9" t="str">
        <f>IFERROR(__xludf.DUMMYFUNCTION("""COMPUTED_VALUE"""),"7403186009080001")</f>
        <v>7403186009080001</v>
      </c>
      <c r="H45" s="9"/>
      <c r="I45" s="9"/>
      <c r="J45" s="10" t="str">
        <f>IFERROR(__xludf.DUMMYFUNCTION("""COMPUTED_VALUE"""),"PEREMPUAN")</f>
        <v>PEREMPUAN</v>
      </c>
      <c r="K45" s="9" t="str">
        <f>IFERROR(__xludf.DUMMYFUNCTION("""COMPUTED_VALUE"""),"Mabholu")</f>
        <v>Mabholu</v>
      </c>
      <c r="L45" s="9"/>
      <c r="M45" s="9"/>
      <c r="N45" s="8" t="s">
        <v>19</v>
      </c>
      <c r="O45" s="9"/>
      <c r="P45" s="9"/>
      <c r="Q45" s="9"/>
      <c r="R45" s="10" t="str">
        <f>IFERROR(__xludf.DUMMYFUNCTION("""COMPUTED_VALUE"""),"K")</f>
        <v>K</v>
      </c>
      <c r="S45" s="8" t="s">
        <v>20</v>
      </c>
    </row>
    <row r="46" ht="22.5" customHeight="1">
      <c r="A46" s="6">
        <v>45.0</v>
      </c>
      <c r="B46" s="9" t="str">
        <f>IFERROR(__xludf.DUMMYFUNCTION("""COMPUTED_VALUE"""),"Menjahit Pakaian Wanita Dewasa")</f>
        <v>Menjahit Pakaian Wanita Dewasa</v>
      </c>
      <c r="C46" s="9" t="str">
        <f>IFERROR(__xludf.DUMMYFUNCTION("""COMPUTED_VALUE"""),"SMK Negeri 3 Muna")</f>
        <v>SMK Negeri 3 Muna</v>
      </c>
      <c r="D46" s="9"/>
      <c r="E46" s="9"/>
      <c r="F46" s="9" t="str">
        <f>IFERROR(__xludf.DUMMYFUNCTION("""COMPUTED_VALUE"""),"ATIKA NADIYA SARIM")</f>
        <v>ATIKA NADIYA SARIM</v>
      </c>
      <c r="G46" s="9" t="str">
        <f>IFERROR(__xludf.DUMMYFUNCTION("""COMPUTED_VALUE"""),"7403135708080001")</f>
        <v>7403135708080001</v>
      </c>
      <c r="H46" s="9"/>
      <c r="I46" s="9"/>
      <c r="J46" s="10" t="str">
        <f>IFERROR(__xludf.DUMMYFUNCTION("""COMPUTED_VALUE"""),"PEREMPUAN")</f>
        <v>PEREMPUAN</v>
      </c>
      <c r="K46" s="9" t="str">
        <f>IFERROR(__xludf.DUMMYFUNCTION("""COMPUTED_VALUE"""),"Desa Kondongia Kecamatan Lohia")</f>
        <v>Desa Kondongia Kecamatan Lohia</v>
      </c>
      <c r="L46" s="9"/>
      <c r="M46" s="9"/>
      <c r="N46" s="8" t="s">
        <v>19</v>
      </c>
      <c r="O46" s="9"/>
      <c r="P46" s="9"/>
      <c r="Q46" s="9"/>
      <c r="R46" s="10" t="str">
        <f>IFERROR(__xludf.DUMMYFUNCTION("""COMPUTED_VALUE"""),"K")</f>
        <v>K</v>
      </c>
      <c r="S46" s="8" t="s">
        <v>20</v>
      </c>
    </row>
    <row r="47" ht="22.5" customHeight="1">
      <c r="A47" s="6">
        <v>46.0</v>
      </c>
      <c r="B47" s="9" t="str">
        <f>IFERROR(__xludf.DUMMYFUNCTION("""COMPUTED_VALUE"""),"Menjahit Pakaian Wanita Dewasa")</f>
        <v>Menjahit Pakaian Wanita Dewasa</v>
      </c>
      <c r="C47" s="9" t="str">
        <f>IFERROR(__xludf.DUMMYFUNCTION("""COMPUTED_VALUE"""),"SMK Negeri 3 Muna")</f>
        <v>SMK Negeri 3 Muna</v>
      </c>
      <c r="D47" s="9"/>
      <c r="E47" s="9"/>
      <c r="F47" s="9" t="str">
        <f>IFERROR(__xludf.DUMMYFUNCTION("""COMPUTED_VALUE"""),"AYUNDA")</f>
        <v>AYUNDA</v>
      </c>
      <c r="G47" s="9" t="str">
        <f>IFERROR(__xludf.DUMMYFUNCTION("""COMPUTED_VALUE"""),"7403136501080001")</f>
        <v>7403136501080001</v>
      </c>
      <c r="H47" s="9"/>
      <c r="I47" s="9"/>
      <c r="J47" s="10" t="str">
        <f>IFERROR(__xludf.DUMMYFUNCTION("""COMPUTED_VALUE"""),"PEREMPUAN")</f>
        <v>PEREMPUAN</v>
      </c>
      <c r="K47" s="9" t="str">
        <f>IFERROR(__xludf.DUMMYFUNCTION("""COMPUTED_VALUE"""),"Desa Kondongia Kecamatan Lohia")</f>
        <v>Desa Kondongia Kecamatan Lohia</v>
      </c>
      <c r="L47" s="9"/>
      <c r="M47" s="9"/>
      <c r="N47" s="8" t="s">
        <v>19</v>
      </c>
      <c r="O47" s="9"/>
      <c r="P47" s="9"/>
      <c r="Q47" s="9"/>
      <c r="R47" s="10" t="str">
        <f>IFERROR(__xludf.DUMMYFUNCTION("""COMPUTED_VALUE"""),"K")</f>
        <v>K</v>
      </c>
      <c r="S47" s="8" t="s">
        <v>20</v>
      </c>
    </row>
    <row r="48" ht="22.5" customHeight="1">
      <c r="A48" s="6">
        <v>47.0</v>
      </c>
      <c r="B48" s="9" t="str">
        <f>IFERROR(__xludf.DUMMYFUNCTION("""COMPUTED_VALUE"""),"Menjahit Pakaian Wanita Dewasa")</f>
        <v>Menjahit Pakaian Wanita Dewasa</v>
      </c>
      <c r="C48" s="9" t="str">
        <f>IFERROR(__xludf.DUMMYFUNCTION("""COMPUTED_VALUE"""),"SMK Negeri 3 Muna")</f>
        <v>SMK Negeri 3 Muna</v>
      </c>
      <c r="D48" s="9"/>
      <c r="E48" s="9"/>
      <c r="F48" s="9" t="str">
        <f>IFERROR(__xludf.DUMMYFUNCTION("""COMPUTED_VALUE"""),"AZ ZAHRA")</f>
        <v>AZ ZAHRA</v>
      </c>
      <c r="G48" s="9" t="str">
        <f>IFERROR(__xludf.DUMMYFUNCTION("""COMPUTED_VALUE"""),"7471025003090001")</f>
        <v>7471025003090001</v>
      </c>
      <c r="H48" s="9"/>
      <c r="I48" s="9"/>
      <c r="J48" s="10" t="str">
        <f>IFERROR(__xludf.DUMMYFUNCTION("""COMPUTED_VALUE"""),"PEREMPUAN")</f>
        <v>PEREMPUAN</v>
      </c>
      <c r="K48" s="9" t="str">
        <f>IFERROR(__xludf.DUMMYFUNCTION("""COMPUTED_VALUE"""),"Jl. Sangia Kaendea")</f>
        <v>Jl. Sangia Kaendea</v>
      </c>
      <c r="L48" s="9"/>
      <c r="M48" s="9"/>
      <c r="N48" s="8" t="s">
        <v>19</v>
      </c>
      <c r="O48" s="9"/>
      <c r="P48" s="9"/>
      <c r="Q48" s="9"/>
      <c r="R48" s="10" t="str">
        <f>IFERROR(__xludf.DUMMYFUNCTION("""COMPUTED_VALUE"""),"K")</f>
        <v>K</v>
      </c>
      <c r="S48" s="8" t="s">
        <v>20</v>
      </c>
    </row>
    <row r="49" ht="22.5" customHeight="1">
      <c r="A49" s="6">
        <v>48.0</v>
      </c>
      <c r="B49" s="9" t="str">
        <f>IFERROR(__xludf.DUMMYFUNCTION("""COMPUTED_VALUE"""),"Menjahit Pakaian Wanita Dewasa")</f>
        <v>Menjahit Pakaian Wanita Dewasa</v>
      </c>
      <c r="C49" s="9" t="str">
        <f>IFERROR(__xludf.DUMMYFUNCTION("""COMPUTED_VALUE"""),"SMK Negeri 3 Muna")</f>
        <v>SMK Negeri 3 Muna</v>
      </c>
      <c r="D49" s="9"/>
      <c r="E49" s="9"/>
      <c r="F49" s="9" t="str">
        <f>IFERROR(__xludf.DUMMYFUNCTION("""COMPUTED_VALUE"""),"CINTA ZAHRANI")</f>
        <v>CINTA ZAHRANI</v>
      </c>
      <c r="G49" s="9" t="str">
        <f>IFERROR(__xludf.DUMMYFUNCTION("""COMPUTED_VALUE"""),"7403176907080001")</f>
        <v>7403176907080001</v>
      </c>
      <c r="H49" s="9"/>
      <c r="I49" s="9"/>
      <c r="J49" s="10" t="str">
        <f>IFERROR(__xludf.DUMMYFUNCTION("""COMPUTED_VALUE"""),"PEREMPUAN")</f>
        <v>PEREMPUAN</v>
      </c>
      <c r="K49" s="9"/>
      <c r="L49" s="9"/>
      <c r="M49" s="9"/>
      <c r="N49" s="8" t="s">
        <v>19</v>
      </c>
      <c r="O49" s="9"/>
      <c r="P49" s="9"/>
      <c r="Q49" s="9"/>
      <c r="R49" s="10" t="str">
        <f>IFERROR(__xludf.DUMMYFUNCTION("""COMPUTED_VALUE"""),"K")</f>
        <v>K</v>
      </c>
      <c r="S49" s="8" t="s">
        <v>20</v>
      </c>
    </row>
    <row r="50" ht="22.5" customHeight="1">
      <c r="A50" s="6">
        <v>49.0</v>
      </c>
      <c r="B50" s="9" t="str">
        <f>IFERROR(__xludf.DUMMYFUNCTION("""COMPUTED_VALUE"""),"Menjahit Pakaian Wanita Dewasa")</f>
        <v>Menjahit Pakaian Wanita Dewasa</v>
      </c>
      <c r="C50" s="9" t="str">
        <f>IFERROR(__xludf.DUMMYFUNCTION("""COMPUTED_VALUE"""),"SMK Negeri 3 Muna")</f>
        <v>SMK Negeri 3 Muna</v>
      </c>
      <c r="D50" s="9"/>
      <c r="E50" s="9"/>
      <c r="F50" s="9" t="str">
        <f>IFERROR(__xludf.DUMMYFUNCTION("""COMPUTED_VALUE"""),"CITRA LESTARI")</f>
        <v>CITRA LESTARI</v>
      </c>
      <c r="G50" s="9" t="str">
        <f>IFERROR(__xludf.DUMMYFUNCTION("""COMPUTED_VALUE"""),"7403185006080003")</f>
        <v>7403185006080003</v>
      </c>
      <c r="H50" s="9"/>
      <c r="I50" s="9"/>
      <c r="J50" s="10" t="str">
        <f>IFERROR(__xludf.DUMMYFUNCTION("""COMPUTED_VALUE"""),"PEREMPUAN")</f>
        <v>PEREMPUAN</v>
      </c>
      <c r="K50" s="9" t="str">
        <f>IFERROR(__xludf.DUMMYFUNCTION("""COMPUTED_VALUE"""),"Desa Waasa")</f>
        <v>Desa Waasa</v>
      </c>
      <c r="L50" s="9"/>
      <c r="M50" s="9"/>
      <c r="N50" s="8" t="s">
        <v>19</v>
      </c>
      <c r="O50" s="9"/>
      <c r="P50" s="9"/>
      <c r="Q50" s="9"/>
      <c r="R50" s="10" t="str">
        <f>IFERROR(__xludf.DUMMYFUNCTION("""COMPUTED_VALUE"""),"K")</f>
        <v>K</v>
      </c>
      <c r="S50" s="8" t="s">
        <v>20</v>
      </c>
    </row>
    <row r="51" ht="22.5" customHeight="1">
      <c r="A51" s="6">
        <v>50.0</v>
      </c>
      <c r="B51" s="9" t="str">
        <f>IFERROR(__xludf.DUMMYFUNCTION("""COMPUTED_VALUE"""),"Menjahit Pakaian Wanita Dewasa")</f>
        <v>Menjahit Pakaian Wanita Dewasa</v>
      </c>
      <c r="C51" s="9" t="str">
        <f>IFERROR(__xludf.DUMMYFUNCTION("""COMPUTED_VALUE"""),"SMK Negeri 3 Muna")</f>
        <v>SMK Negeri 3 Muna</v>
      </c>
      <c r="D51" s="9"/>
      <c r="E51" s="9"/>
      <c r="F51" s="9" t="str">
        <f>IFERROR(__xludf.DUMMYFUNCTION("""COMPUTED_VALUE"""),"DEBRI HARSINA ANDARI")</f>
        <v>DEBRI HARSINA ANDARI</v>
      </c>
      <c r="G51" s="9" t="str">
        <f>IFERROR(__xludf.DUMMYFUNCTION("""COMPUTED_VALUE"""),"7403175310070001")</f>
        <v>7403175310070001</v>
      </c>
      <c r="H51" s="9"/>
      <c r="I51" s="9"/>
      <c r="J51" s="10" t="str">
        <f>IFERROR(__xludf.DUMMYFUNCTION("""COMPUTED_VALUE"""),"PEREMPUAN")</f>
        <v>PEREMPUAN</v>
      </c>
      <c r="K51" s="9" t="str">
        <f>IFERROR(__xludf.DUMMYFUNCTION("""COMPUTED_VALUE"""),"GHONSUME, KEC. DURUKA")</f>
        <v>GHONSUME, KEC. DURUKA</v>
      </c>
      <c r="L51" s="9"/>
      <c r="M51" s="9"/>
      <c r="N51" s="8" t="s">
        <v>19</v>
      </c>
      <c r="O51" s="9"/>
      <c r="P51" s="9"/>
      <c r="Q51" s="9"/>
      <c r="R51" s="10" t="str">
        <f>IFERROR(__xludf.DUMMYFUNCTION("""COMPUTED_VALUE"""),"K")</f>
        <v>K</v>
      </c>
      <c r="S51" s="8" t="s">
        <v>20</v>
      </c>
    </row>
    <row r="52" ht="22.5" customHeight="1">
      <c r="A52" s="6">
        <v>51.0</v>
      </c>
      <c r="B52" s="9" t="str">
        <f>IFERROR(__xludf.DUMMYFUNCTION("""COMPUTED_VALUE"""),"Menjahit Pakaian Wanita Dewasa")</f>
        <v>Menjahit Pakaian Wanita Dewasa</v>
      </c>
      <c r="C52" s="9" t="str">
        <f>IFERROR(__xludf.DUMMYFUNCTION("""COMPUTED_VALUE"""),"SMK Negeri 3 Muna")</f>
        <v>SMK Negeri 3 Muna</v>
      </c>
      <c r="D52" s="9"/>
      <c r="E52" s="9"/>
      <c r="F52" s="9" t="str">
        <f>IFERROR(__xludf.DUMMYFUNCTION("""COMPUTED_VALUE"""),"DEWI  YUNIARSIH")</f>
        <v>DEWI  YUNIARSIH</v>
      </c>
      <c r="G52" s="9" t="str">
        <f>IFERROR(__xludf.DUMMYFUNCTION("""COMPUTED_VALUE"""),"7403145906080002")</f>
        <v>7403145906080002</v>
      </c>
      <c r="H52" s="9"/>
      <c r="I52" s="9"/>
      <c r="J52" s="10" t="str">
        <f>IFERROR(__xludf.DUMMYFUNCTION("""COMPUTED_VALUE"""),"PEREMPUAN")</f>
        <v>PEREMPUAN</v>
      </c>
      <c r="K52" s="9" t="str">
        <f>IFERROR(__xludf.DUMMYFUNCTION("""COMPUTED_VALUE"""),"Desa Lohia")</f>
        <v>Desa Lohia</v>
      </c>
      <c r="L52" s="9"/>
      <c r="M52" s="9"/>
      <c r="N52" s="8" t="s">
        <v>19</v>
      </c>
      <c r="O52" s="9"/>
      <c r="P52" s="9"/>
      <c r="Q52" s="9"/>
      <c r="R52" s="10" t="str">
        <f>IFERROR(__xludf.DUMMYFUNCTION("""COMPUTED_VALUE"""),"K")</f>
        <v>K</v>
      </c>
      <c r="S52" s="8" t="s">
        <v>20</v>
      </c>
    </row>
    <row r="53" ht="22.5" customHeight="1">
      <c r="A53" s="6">
        <v>52.0</v>
      </c>
      <c r="B53" s="9" t="str">
        <f>IFERROR(__xludf.DUMMYFUNCTION("""COMPUTED_VALUE"""),"Menjahit Pakaian Wanita Dewasa")</f>
        <v>Menjahit Pakaian Wanita Dewasa</v>
      </c>
      <c r="C53" s="9" t="str">
        <f>IFERROR(__xludf.DUMMYFUNCTION("""COMPUTED_VALUE"""),"SMK Negeri 3 Muna")</f>
        <v>SMK Negeri 3 Muna</v>
      </c>
      <c r="D53" s="9"/>
      <c r="E53" s="9"/>
      <c r="F53" s="9" t="str">
        <f>IFERROR(__xludf.DUMMYFUNCTION("""COMPUTED_VALUE"""),"DIFA  RAHAYU")</f>
        <v>DIFA  RAHAYU</v>
      </c>
      <c r="G53" s="9" t="str">
        <f>IFERROR(__xludf.DUMMYFUNCTION("""COMPUTED_VALUE"""),"7403124202080001")</f>
        <v>7403124202080001</v>
      </c>
      <c r="H53" s="9"/>
      <c r="I53" s="9"/>
      <c r="J53" s="10" t="str">
        <f>IFERROR(__xludf.DUMMYFUNCTION("""COMPUTED_VALUE"""),"PEREMPUAN")</f>
        <v>PEREMPUAN</v>
      </c>
      <c r="K53" s="9" t="str">
        <f>IFERROR(__xludf.DUMMYFUNCTION("""COMPUTED_VALUE"""),"Jl. Wirabuana, Desa Wakorambu")</f>
        <v>Jl. Wirabuana, Desa Wakorambu</v>
      </c>
      <c r="L53" s="9"/>
      <c r="M53" s="9"/>
      <c r="N53" s="8" t="s">
        <v>19</v>
      </c>
      <c r="O53" s="9"/>
      <c r="P53" s="9"/>
      <c r="Q53" s="9"/>
      <c r="R53" s="10" t="str">
        <f>IFERROR(__xludf.DUMMYFUNCTION("""COMPUTED_VALUE"""),"K")</f>
        <v>K</v>
      </c>
      <c r="S53" s="8" t="s">
        <v>20</v>
      </c>
    </row>
    <row r="54" ht="22.5" customHeight="1">
      <c r="A54" s="6">
        <v>53.0</v>
      </c>
      <c r="B54" s="9" t="str">
        <f>IFERROR(__xludf.DUMMYFUNCTION("""COMPUTED_VALUE"""),"Menjahit Pakaian Wanita Dewasa")</f>
        <v>Menjahit Pakaian Wanita Dewasa</v>
      </c>
      <c r="C54" s="9" t="str">
        <f>IFERROR(__xludf.DUMMYFUNCTION("""COMPUTED_VALUE"""),"SMK Negeri 3 Muna")</f>
        <v>SMK Negeri 3 Muna</v>
      </c>
      <c r="D54" s="9"/>
      <c r="E54" s="9"/>
      <c r="F54" s="9" t="str">
        <f>IFERROR(__xludf.DUMMYFUNCTION("""COMPUTED_VALUE"""),"DITA WATI")</f>
        <v>DITA WATI</v>
      </c>
      <c r="G54" s="9" t="str">
        <f>IFERROR(__xludf.DUMMYFUNCTION("""COMPUTED_VALUE"""),"7403147003070201")</f>
        <v>7403147003070201</v>
      </c>
      <c r="H54" s="9"/>
      <c r="I54" s="9"/>
      <c r="J54" s="10" t="str">
        <f>IFERROR(__xludf.DUMMYFUNCTION("""COMPUTED_VALUE"""),"PEREMPUAN")</f>
        <v>PEREMPUAN</v>
      </c>
      <c r="K54" s="9" t="str">
        <f>IFERROR(__xludf.DUMMYFUNCTION("""COMPUTED_VALUE"""),"Desa Bangkaii")</f>
        <v>Desa Bangkaii</v>
      </c>
      <c r="L54" s="9"/>
      <c r="M54" s="9"/>
      <c r="N54" s="8" t="s">
        <v>19</v>
      </c>
      <c r="O54" s="9"/>
      <c r="P54" s="9"/>
      <c r="Q54" s="9"/>
      <c r="R54" s="10" t="str">
        <f>IFERROR(__xludf.DUMMYFUNCTION("""COMPUTED_VALUE"""),"K")</f>
        <v>K</v>
      </c>
      <c r="S54" s="8" t="s">
        <v>20</v>
      </c>
    </row>
    <row r="55" ht="22.5" customHeight="1">
      <c r="A55" s="6">
        <v>54.0</v>
      </c>
      <c r="B55" s="9" t="str">
        <f>IFERROR(__xludf.DUMMYFUNCTION("""COMPUTED_VALUE"""),"Menjahit Pakaian Wanita Dewasa")</f>
        <v>Menjahit Pakaian Wanita Dewasa</v>
      </c>
      <c r="C55" s="9" t="str">
        <f>IFERROR(__xludf.DUMMYFUNCTION("""COMPUTED_VALUE"""),"SMK Negeri 3 Muna")</f>
        <v>SMK Negeri 3 Muna</v>
      </c>
      <c r="D55" s="9"/>
      <c r="E55" s="9"/>
      <c r="F55" s="9" t="str">
        <f>IFERROR(__xludf.DUMMYFUNCTION("""COMPUTED_VALUE"""),"DHODI  PRADITA")</f>
        <v>DHODI  PRADITA</v>
      </c>
      <c r="G55" s="9" t="str">
        <f>IFERROR(__xludf.DUMMYFUNCTION("""COMPUTED_VALUE"""),"7403161405080003")</f>
        <v>7403161405080003</v>
      </c>
      <c r="H55" s="9"/>
      <c r="I55" s="9"/>
      <c r="J55" s="10" t="str">
        <f>IFERROR(__xludf.DUMMYFUNCTION("""COMPUTED_VALUE"""),"LAKI-LAKI")</f>
        <v>LAKI-LAKI</v>
      </c>
      <c r="K55" s="9" t="str">
        <f>IFERROR(__xludf.DUMMYFUNCTION("""COMPUTED_VALUE"""),"Jl. Tengiri Kel. Wamponiki")</f>
        <v>Jl. Tengiri Kel. Wamponiki</v>
      </c>
      <c r="L55" s="9"/>
      <c r="M55" s="9"/>
      <c r="N55" s="8" t="s">
        <v>19</v>
      </c>
      <c r="O55" s="9"/>
      <c r="P55" s="9"/>
      <c r="Q55" s="9"/>
      <c r="R55" s="10" t="str">
        <f>IFERROR(__xludf.DUMMYFUNCTION("""COMPUTED_VALUE"""),"K")</f>
        <v>K</v>
      </c>
      <c r="S55" s="8" t="s">
        <v>20</v>
      </c>
    </row>
    <row r="56" ht="22.5" customHeight="1">
      <c r="A56" s="6">
        <v>55.0</v>
      </c>
      <c r="B56" s="9" t="str">
        <f>IFERROR(__xludf.DUMMYFUNCTION("""COMPUTED_VALUE"""),"Menjahit Pakaian Wanita Dewasa")</f>
        <v>Menjahit Pakaian Wanita Dewasa</v>
      </c>
      <c r="C56" s="9" t="str">
        <f>IFERROR(__xludf.DUMMYFUNCTION("""COMPUTED_VALUE"""),"SMK Negeri 3 Muna")</f>
        <v>SMK Negeri 3 Muna</v>
      </c>
      <c r="D56" s="9"/>
      <c r="E56" s="9"/>
      <c r="F56" s="9" t="str">
        <f>IFERROR(__xludf.DUMMYFUNCTION("""COMPUTED_VALUE"""),"ELIN")</f>
        <v>ELIN</v>
      </c>
      <c r="G56" s="9" t="str">
        <f>IFERROR(__xludf.DUMMYFUNCTION("""COMPUTED_VALUE"""),"7403184311080002")</f>
        <v>7403184311080002</v>
      </c>
      <c r="H56" s="9"/>
      <c r="I56" s="9"/>
      <c r="J56" s="10" t="str">
        <f>IFERROR(__xludf.DUMMYFUNCTION("""COMPUTED_VALUE"""),"PEREMPUAN")</f>
        <v>PEREMPUAN</v>
      </c>
      <c r="K56" s="9" t="str">
        <f>IFERROR(__xludf.DUMMYFUNCTION("""COMPUTED_VALUE"""),"Desa Loghiya")</f>
        <v>Desa Loghiya</v>
      </c>
      <c r="L56" s="9"/>
      <c r="M56" s="9"/>
      <c r="N56" s="8" t="s">
        <v>19</v>
      </c>
      <c r="O56" s="9"/>
      <c r="P56" s="9"/>
      <c r="Q56" s="9"/>
      <c r="R56" s="10" t="str">
        <f>IFERROR(__xludf.DUMMYFUNCTION("""COMPUTED_VALUE"""),"K")</f>
        <v>K</v>
      </c>
      <c r="S56" s="8" t="s">
        <v>20</v>
      </c>
    </row>
    <row r="57" ht="22.5" customHeight="1">
      <c r="A57" s="6">
        <v>56.0</v>
      </c>
      <c r="B57" s="9" t="str">
        <f>IFERROR(__xludf.DUMMYFUNCTION("""COMPUTED_VALUE"""),"Menjahit Pakaian Wanita Dewasa")</f>
        <v>Menjahit Pakaian Wanita Dewasa</v>
      </c>
      <c r="C57" s="9" t="str">
        <f>IFERROR(__xludf.DUMMYFUNCTION("""COMPUTED_VALUE"""),"SMK Negeri 3 Muna")</f>
        <v>SMK Negeri 3 Muna</v>
      </c>
      <c r="D57" s="9"/>
      <c r="E57" s="9"/>
      <c r="F57" s="9" t="str">
        <f>IFERROR(__xludf.DUMMYFUNCTION("""COMPUTED_VALUE"""),"FIKA")</f>
        <v>FIKA</v>
      </c>
      <c r="G57" s="9" t="str">
        <f>IFERROR(__xludf.DUMMYFUNCTION("""COMPUTED_VALUE"""),"7403144107070223")</f>
        <v>7403144107070223</v>
      </c>
      <c r="H57" s="9"/>
      <c r="I57" s="9"/>
      <c r="J57" s="10" t="str">
        <f>IFERROR(__xludf.DUMMYFUNCTION("""COMPUTED_VALUE"""),"PEREMPUAN")</f>
        <v>PEREMPUAN</v>
      </c>
      <c r="K57" s="9" t="str">
        <f>IFERROR(__xludf.DUMMYFUNCTION("""COMPUTED_VALUE"""),"Desa Bangkali")</f>
        <v>Desa Bangkali</v>
      </c>
      <c r="L57" s="9"/>
      <c r="M57" s="9"/>
      <c r="N57" s="8" t="s">
        <v>19</v>
      </c>
      <c r="O57" s="9"/>
      <c r="P57" s="9"/>
      <c r="Q57" s="9"/>
      <c r="R57" s="10" t="str">
        <f>IFERROR(__xludf.DUMMYFUNCTION("""COMPUTED_VALUE"""),"K")</f>
        <v>K</v>
      </c>
      <c r="S57" s="8" t="s">
        <v>20</v>
      </c>
    </row>
    <row r="58" ht="22.5" customHeight="1">
      <c r="A58" s="6">
        <v>57.0</v>
      </c>
      <c r="B58" s="9" t="str">
        <f>IFERROR(__xludf.DUMMYFUNCTION("""COMPUTED_VALUE"""),"Menjahit Pakaian Wanita Dewasa")</f>
        <v>Menjahit Pakaian Wanita Dewasa</v>
      </c>
      <c r="C58" s="9" t="str">
        <f>IFERROR(__xludf.DUMMYFUNCTION("""COMPUTED_VALUE"""),"SMK Negeri 3 Muna")</f>
        <v>SMK Negeri 3 Muna</v>
      </c>
      <c r="D58" s="9"/>
      <c r="E58" s="9"/>
      <c r="F58" s="9" t="str">
        <f>IFERROR(__xludf.DUMMYFUNCTION("""COMPUTED_VALUE"""),"HENI  SAPUTRI")</f>
        <v>HENI  SAPUTRI</v>
      </c>
      <c r="G58" s="9" t="str">
        <f>IFERROR(__xludf.DUMMYFUNCTION("""COMPUTED_VALUE"""),"7403156807080001")</f>
        <v>7403156807080001</v>
      </c>
      <c r="H58" s="9"/>
      <c r="I58" s="9"/>
      <c r="J58" s="10" t="str">
        <f>IFERROR(__xludf.DUMMYFUNCTION("""COMPUTED_VALUE"""),"PEREMPUAN")</f>
        <v>PEREMPUAN</v>
      </c>
      <c r="K58" s="9" t="str">
        <f>IFERROR(__xludf.DUMMYFUNCTION("""COMPUTED_VALUE"""),"jalan Made Sabara")</f>
        <v>jalan Made Sabara</v>
      </c>
      <c r="L58" s="9"/>
      <c r="M58" s="9"/>
      <c r="N58" s="8" t="s">
        <v>19</v>
      </c>
      <c r="O58" s="9"/>
      <c r="P58" s="9"/>
      <c r="Q58" s="9"/>
      <c r="R58" s="10" t="str">
        <f>IFERROR(__xludf.DUMMYFUNCTION("""COMPUTED_VALUE"""),"K")</f>
        <v>K</v>
      </c>
      <c r="S58" s="8" t="s">
        <v>20</v>
      </c>
    </row>
    <row r="59" ht="22.5" customHeight="1">
      <c r="A59" s="6">
        <v>58.0</v>
      </c>
      <c r="B59" s="9" t="str">
        <f>IFERROR(__xludf.DUMMYFUNCTION("""COMPUTED_VALUE"""),"Menjahit Pakaian Wanita Dewasa")</f>
        <v>Menjahit Pakaian Wanita Dewasa</v>
      </c>
      <c r="C59" s="9" t="str">
        <f>IFERROR(__xludf.DUMMYFUNCTION("""COMPUTED_VALUE"""),"SMK Negeri 3 Muna")</f>
        <v>SMK Negeri 3 Muna</v>
      </c>
      <c r="D59" s="9"/>
      <c r="E59" s="9"/>
      <c r="F59" s="9" t="str">
        <f>IFERROR(__xludf.DUMMYFUNCTION("""COMPUTED_VALUE"""),"HIKMA  WATI")</f>
        <v>HIKMA  WATI</v>
      </c>
      <c r="G59" s="9" t="str">
        <f>IFERROR(__xludf.DUMMYFUNCTION("""COMPUTED_VALUE"""),"7403156308090001")</f>
        <v>7403156308090001</v>
      </c>
      <c r="H59" s="9"/>
      <c r="I59" s="9"/>
      <c r="J59" s="10" t="str">
        <f>IFERROR(__xludf.DUMMYFUNCTION("""COMPUTED_VALUE"""),"PEREMPUAN")</f>
        <v>PEREMPUAN</v>
      </c>
      <c r="K59" s="9" t="str">
        <f>IFERROR(__xludf.DUMMYFUNCTION("""COMPUTED_VALUE"""),"Jl. Wirabuana, Desa Wawesa")</f>
        <v>Jl. Wirabuana, Desa Wawesa</v>
      </c>
      <c r="L59" s="9"/>
      <c r="M59" s="9"/>
      <c r="N59" s="8" t="s">
        <v>19</v>
      </c>
      <c r="O59" s="9"/>
      <c r="P59" s="9"/>
      <c r="Q59" s="9"/>
      <c r="R59" s="10" t="str">
        <f>IFERROR(__xludf.DUMMYFUNCTION("""COMPUTED_VALUE"""),"K")</f>
        <v>K</v>
      </c>
      <c r="S59" s="8" t="s">
        <v>20</v>
      </c>
    </row>
    <row r="60" ht="22.5" customHeight="1">
      <c r="A60" s="6">
        <v>59.0</v>
      </c>
      <c r="B60" s="9" t="str">
        <f>IFERROR(__xludf.DUMMYFUNCTION("""COMPUTED_VALUE"""),"Menjahit Pakaian Wanita Dewasa")</f>
        <v>Menjahit Pakaian Wanita Dewasa</v>
      </c>
      <c r="C60" s="9" t="str">
        <f>IFERROR(__xludf.DUMMYFUNCTION("""COMPUTED_VALUE"""),"SMK Negeri 3 Muna")</f>
        <v>SMK Negeri 3 Muna</v>
      </c>
      <c r="D60" s="9"/>
      <c r="E60" s="9"/>
      <c r="F60" s="9" t="str">
        <f>IFERROR(__xludf.DUMMYFUNCTION("""COMPUTED_VALUE"""),"INDAH")</f>
        <v>INDAH</v>
      </c>
      <c r="G60" s="9" t="str">
        <f>IFERROR(__xludf.DUMMYFUNCTION("""COMPUTED_VALUE"""),"7403287101090001")</f>
        <v>7403287101090001</v>
      </c>
      <c r="H60" s="9"/>
      <c r="I60" s="9"/>
      <c r="J60" s="10" t="str">
        <f>IFERROR(__xludf.DUMMYFUNCTION("""COMPUTED_VALUE"""),"PEREMPUAN")</f>
        <v>PEREMPUAN</v>
      </c>
      <c r="K60" s="9" t="str">
        <f>IFERROR(__xludf.DUMMYFUNCTION("""COMPUTED_VALUE"""),"Jalan Lumba-Lumba Lorong Sinarlas ")</f>
        <v>Jalan Lumba-Lumba Lorong Sinarlas </v>
      </c>
      <c r="L60" s="9"/>
      <c r="M60" s="9"/>
      <c r="N60" s="8" t="s">
        <v>19</v>
      </c>
      <c r="O60" s="9"/>
      <c r="P60" s="9"/>
      <c r="Q60" s="9"/>
      <c r="R60" s="10" t="str">
        <f>IFERROR(__xludf.DUMMYFUNCTION("""COMPUTED_VALUE"""),"K")</f>
        <v>K</v>
      </c>
      <c r="S60" s="8" t="s">
        <v>20</v>
      </c>
    </row>
    <row r="61" ht="22.5" customHeight="1">
      <c r="A61" s="6">
        <v>60.0</v>
      </c>
      <c r="B61" s="9" t="str">
        <f>IFERROR(__xludf.DUMMYFUNCTION("""COMPUTED_VALUE"""),"Menjahit Pakaian Wanita Dewasa")</f>
        <v>Menjahit Pakaian Wanita Dewasa</v>
      </c>
      <c r="C61" s="9" t="str">
        <f>IFERROR(__xludf.DUMMYFUNCTION("""COMPUTED_VALUE"""),"SMK Negeri 3 Muna")</f>
        <v>SMK Negeri 3 Muna</v>
      </c>
      <c r="D61" s="9"/>
      <c r="E61" s="9"/>
      <c r="F61" s="9" t="str">
        <f>IFERROR(__xludf.DUMMYFUNCTION("""COMPUTED_VALUE"""),"IZAT")</f>
        <v>IZAT</v>
      </c>
      <c r="G61" s="9" t="str">
        <f>IFERROR(__xludf.DUMMYFUNCTION("""COMPUTED_VALUE"""),"7403163112080001")</f>
        <v>7403163112080001</v>
      </c>
      <c r="H61" s="9"/>
      <c r="I61" s="9"/>
      <c r="J61" s="10" t="str">
        <f>IFERROR(__xludf.DUMMYFUNCTION("""COMPUTED_VALUE"""),"LAKI-LAKI")</f>
        <v>LAKI-LAKI</v>
      </c>
      <c r="K61" s="9" t="str">
        <f>IFERROR(__xludf.DUMMYFUNCTION("""COMPUTED_VALUE"""),"Jl. Madesabara")</f>
        <v>Jl. Madesabara</v>
      </c>
      <c r="L61" s="9"/>
      <c r="M61" s="9"/>
      <c r="N61" s="8" t="s">
        <v>19</v>
      </c>
      <c r="O61" s="9"/>
      <c r="P61" s="9"/>
      <c r="Q61" s="9"/>
      <c r="R61" s="10" t="str">
        <f>IFERROR(__xludf.DUMMYFUNCTION("""COMPUTED_VALUE"""),"K")</f>
        <v>K</v>
      </c>
      <c r="S61" s="8" t="s">
        <v>20</v>
      </c>
    </row>
    <row r="62" ht="22.5" customHeight="1">
      <c r="A62" s="6">
        <v>61.0</v>
      </c>
      <c r="B62" s="9" t="str">
        <f>IFERROR(__xludf.DUMMYFUNCTION("""COMPUTED_VALUE"""),"Menjahit Pakaian Wanita Dewasa")</f>
        <v>Menjahit Pakaian Wanita Dewasa</v>
      </c>
      <c r="C62" s="9" t="str">
        <f>IFERROR(__xludf.DUMMYFUNCTION("""COMPUTED_VALUE"""),"SMK Negeri 3 Muna")</f>
        <v>SMK Negeri 3 Muna</v>
      </c>
      <c r="D62" s="9"/>
      <c r="E62" s="9"/>
      <c r="F62" s="9" t="str">
        <f>IFERROR(__xludf.DUMMYFUNCTION("""COMPUTED_VALUE"""),"JENI PRISCILIA NATALIA SAKALAU")</f>
        <v>JENI PRISCILIA NATALIA SAKALAU</v>
      </c>
      <c r="G62" s="9" t="str">
        <f>IFERROR(__xludf.DUMMYFUNCTION("""COMPUTED_VALUE"""),"7403175501080001")</f>
        <v>7403175501080001</v>
      </c>
      <c r="H62" s="9"/>
      <c r="I62" s="9"/>
      <c r="J62" s="10" t="str">
        <f>IFERROR(__xludf.DUMMYFUNCTION("""COMPUTED_VALUE"""),"PEREMPUAN")</f>
        <v>PEREMPUAN</v>
      </c>
      <c r="K62" s="9" t="str">
        <f>IFERROR(__xludf.DUMMYFUNCTION("""COMPUTED_VALUE"""),"Ghone Balano")</f>
        <v>Ghone Balano</v>
      </c>
      <c r="L62" s="9"/>
      <c r="M62" s="9"/>
      <c r="N62" s="8" t="s">
        <v>19</v>
      </c>
      <c r="O62" s="9"/>
      <c r="P62" s="9"/>
      <c r="Q62" s="9"/>
      <c r="R62" s="10" t="str">
        <f>IFERROR(__xludf.DUMMYFUNCTION("""COMPUTED_VALUE"""),"K")</f>
        <v>K</v>
      </c>
      <c r="S62" s="8" t="s">
        <v>20</v>
      </c>
    </row>
    <row r="63" ht="22.5" customHeight="1">
      <c r="A63" s="6">
        <v>62.0</v>
      </c>
      <c r="B63" s="9" t="str">
        <f>IFERROR(__xludf.DUMMYFUNCTION("""COMPUTED_VALUE"""),"Menjahit Pakaian Wanita Dewasa")</f>
        <v>Menjahit Pakaian Wanita Dewasa</v>
      </c>
      <c r="C63" s="9" t="str">
        <f>IFERROR(__xludf.DUMMYFUNCTION("""COMPUTED_VALUE"""),"SMK Negeri 3 Muna")</f>
        <v>SMK Negeri 3 Muna</v>
      </c>
      <c r="D63" s="9"/>
      <c r="E63" s="9"/>
      <c r="F63" s="9" t="str">
        <f>IFERROR(__xludf.DUMMYFUNCTION("""COMPUTED_VALUE"""),"MARIANA")</f>
        <v>MARIANA</v>
      </c>
      <c r="G63" s="9" t="str">
        <f>IFERROR(__xludf.DUMMYFUNCTION("""COMPUTED_VALUE"""),"7403096703070001")</f>
        <v>7403096703070001</v>
      </c>
      <c r="H63" s="9"/>
      <c r="I63" s="9"/>
      <c r="J63" s="10" t="str">
        <f>IFERROR(__xludf.DUMMYFUNCTION("""COMPUTED_VALUE"""),"PEREMPUAN")</f>
        <v>PEREMPUAN</v>
      </c>
      <c r="K63" s="9" t="str">
        <f>IFERROR(__xludf.DUMMYFUNCTION("""COMPUTED_VALUE"""),"Desa Kombogo")</f>
        <v>Desa Kombogo</v>
      </c>
      <c r="L63" s="9"/>
      <c r="M63" s="9"/>
      <c r="N63" s="8" t="s">
        <v>19</v>
      </c>
      <c r="O63" s="9"/>
      <c r="P63" s="9"/>
      <c r="Q63" s="9"/>
      <c r="R63" s="10" t="str">
        <f>IFERROR(__xludf.DUMMYFUNCTION("""COMPUTED_VALUE"""),"K")</f>
        <v>K</v>
      </c>
      <c r="S63" s="8" t="s">
        <v>20</v>
      </c>
    </row>
    <row r="64" ht="22.5" customHeight="1">
      <c r="A64" s="6">
        <v>63.0</v>
      </c>
      <c r="B64" s="9" t="str">
        <f>IFERROR(__xludf.DUMMYFUNCTION("""COMPUTED_VALUE"""),"Menjahit Pakaian Wanita Dewasa")</f>
        <v>Menjahit Pakaian Wanita Dewasa</v>
      </c>
      <c r="C64" s="9" t="str">
        <f>IFERROR(__xludf.DUMMYFUNCTION("""COMPUTED_VALUE"""),"SMK Negeri 3 Muna")</f>
        <v>SMK Negeri 3 Muna</v>
      </c>
      <c r="D64" s="9"/>
      <c r="E64" s="9"/>
      <c r="F64" s="9" t="str">
        <f>IFERROR(__xludf.DUMMYFUNCTION("""COMPUTED_VALUE"""),"MARSELLA")</f>
        <v>MARSELLA</v>
      </c>
      <c r="G64" s="9" t="str">
        <f>IFERROR(__xludf.DUMMYFUNCTION("""COMPUTED_VALUE"""),"7403185808080001")</f>
        <v>7403185808080001</v>
      </c>
      <c r="H64" s="9"/>
      <c r="I64" s="9"/>
      <c r="J64" s="10" t="str">
        <f>IFERROR(__xludf.DUMMYFUNCTION("""COMPUTED_VALUE"""),"PEREMPUAN")</f>
        <v>PEREMPUAN</v>
      </c>
      <c r="K64" s="9" t="str">
        <f>IFERROR(__xludf.DUMMYFUNCTION("""COMPUTED_VALUE"""),"Desa Mabulo")</f>
        <v>Desa Mabulo</v>
      </c>
      <c r="L64" s="9"/>
      <c r="M64" s="9"/>
      <c r="N64" s="8" t="s">
        <v>19</v>
      </c>
      <c r="O64" s="9"/>
      <c r="P64" s="9"/>
      <c r="Q64" s="9"/>
      <c r="R64" s="10" t="str">
        <f>IFERROR(__xludf.DUMMYFUNCTION("""COMPUTED_VALUE"""),"K")</f>
        <v>K</v>
      </c>
      <c r="S64" s="8" t="s">
        <v>20</v>
      </c>
    </row>
    <row r="65" ht="22.5" customHeight="1">
      <c r="A65" s="6">
        <v>64.0</v>
      </c>
      <c r="B65" s="9" t="str">
        <f>IFERROR(__xludf.DUMMYFUNCTION("""COMPUTED_VALUE"""),"Menjahit Pakaian Wanita Dewasa")</f>
        <v>Menjahit Pakaian Wanita Dewasa</v>
      </c>
      <c r="C65" s="9" t="str">
        <f>IFERROR(__xludf.DUMMYFUNCTION("""COMPUTED_VALUE"""),"SMK Negeri 3 Muna")</f>
        <v>SMK Negeri 3 Muna</v>
      </c>
      <c r="D65" s="9"/>
      <c r="E65" s="9"/>
      <c r="F65" s="9" t="str">
        <f>IFERROR(__xludf.DUMMYFUNCTION("""COMPUTED_VALUE"""),"MARSI")</f>
        <v>MARSI</v>
      </c>
      <c r="G65" s="9" t="str">
        <f>IFERROR(__xludf.DUMMYFUNCTION("""COMPUTED_VALUE"""),"7403064208070201")</f>
        <v>7403064208070201</v>
      </c>
      <c r="H65" s="9"/>
      <c r="I65" s="9"/>
      <c r="J65" s="10" t="str">
        <f>IFERROR(__xludf.DUMMYFUNCTION("""COMPUTED_VALUE"""),"PEREMPUAN")</f>
        <v>PEREMPUAN</v>
      </c>
      <c r="K65" s="9" t="str">
        <f>IFERROR(__xludf.DUMMYFUNCTION("""COMPUTED_VALUE"""),"Desa Lambiku")</f>
        <v>Desa Lambiku</v>
      </c>
      <c r="L65" s="9"/>
      <c r="M65" s="9"/>
      <c r="N65" s="8" t="s">
        <v>19</v>
      </c>
      <c r="O65" s="9"/>
      <c r="P65" s="9"/>
      <c r="Q65" s="9"/>
      <c r="R65" s="10" t="str">
        <f>IFERROR(__xludf.DUMMYFUNCTION("""COMPUTED_VALUE"""),"K")</f>
        <v>K</v>
      </c>
      <c r="S65" s="8" t="s">
        <v>20</v>
      </c>
    </row>
    <row r="66" ht="22.5" customHeight="1">
      <c r="A66" s="6">
        <v>65.0</v>
      </c>
      <c r="B66" s="9" t="str">
        <f>IFERROR(__xludf.DUMMYFUNCTION("""COMPUTED_VALUE"""),"Menjahit Pakaian Wanita Dewasa")</f>
        <v>Menjahit Pakaian Wanita Dewasa</v>
      </c>
      <c r="C66" s="9" t="str">
        <f>IFERROR(__xludf.DUMMYFUNCTION("""COMPUTED_VALUE"""),"SMK Negeri 3 Muna")</f>
        <v>SMK Negeri 3 Muna</v>
      </c>
      <c r="D66" s="9"/>
      <c r="E66" s="9"/>
      <c r="F66" s="9" t="str">
        <f>IFERROR(__xludf.DUMMYFUNCTION("""COMPUTED_VALUE"""),"MARWA ALFARISA")</f>
        <v>MARWA ALFARISA</v>
      </c>
      <c r="G66" s="9" t="str">
        <f>IFERROR(__xludf.DUMMYFUNCTION("""COMPUTED_VALUE"""),"7403147005080001")</f>
        <v>7403147005080001</v>
      </c>
      <c r="H66" s="9"/>
      <c r="I66" s="9"/>
      <c r="J66" s="10" t="str">
        <f>IFERROR(__xludf.DUMMYFUNCTION("""COMPUTED_VALUE"""),"PEREMPUAN")</f>
        <v>PEREMPUAN</v>
      </c>
      <c r="K66" s="9" t="str">
        <f>IFERROR(__xludf.DUMMYFUNCTION("""COMPUTED_VALUE"""),"Desa Bangunsari")</f>
        <v>Desa Bangunsari</v>
      </c>
      <c r="L66" s="9"/>
      <c r="M66" s="9"/>
      <c r="N66" s="8" t="s">
        <v>19</v>
      </c>
      <c r="O66" s="9"/>
      <c r="P66" s="9"/>
      <c r="Q66" s="9"/>
      <c r="R66" s="10" t="str">
        <f>IFERROR(__xludf.DUMMYFUNCTION("""COMPUTED_VALUE"""),"K")</f>
        <v>K</v>
      </c>
      <c r="S66" s="8" t="s">
        <v>20</v>
      </c>
    </row>
    <row r="67" ht="22.5" customHeight="1">
      <c r="A67" s="6">
        <v>66.0</v>
      </c>
      <c r="B67" s="9" t="str">
        <f>IFERROR(__xludf.DUMMYFUNCTION("""COMPUTED_VALUE"""),"Menjahit Pakaian Wanita Dewasa")</f>
        <v>Menjahit Pakaian Wanita Dewasa</v>
      </c>
      <c r="C67" s="9" t="str">
        <f>IFERROR(__xludf.DUMMYFUNCTION("""COMPUTED_VALUE"""),"SMK Negeri 3 Muna")</f>
        <v>SMK Negeri 3 Muna</v>
      </c>
      <c r="D67" s="9"/>
      <c r="E67" s="9"/>
      <c r="F67" s="9" t="str">
        <f>IFERROR(__xludf.DUMMYFUNCTION("""COMPUTED_VALUE"""),"MAWAR FADILAH")</f>
        <v>MAWAR FADILAH</v>
      </c>
      <c r="G67" s="9" t="str">
        <f>IFERROR(__xludf.DUMMYFUNCTION("""COMPUTED_VALUE"""),"7403184902080001")</f>
        <v>7403184902080001</v>
      </c>
      <c r="H67" s="9"/>
      <c r="I67" s="9"/>
      <c r="J67" s="10" t="str">
        <f>IFERROR(__xludf.DUMMYFUNCTION("""COMPUTED_VALUE"""),"PEREMPUAN")</f>
        <v>PEREMPUAN</v>
      </c>
      <c r="K67" s="9" t="str">
        <f>IFERROR(__xludf.DUMMYFUNCTION("""COMPUTED_VALUE"""),"Desa Mabolu")</f>
        <v>Desa Mabolu</v>
      </c>
      <c r="L67" s="9"/>
      <c r="M67" s="9"/>
      <c r="N67" s="8" t="s">
        <v>19</v>
      </c>
      <c r="O67" s="9"/>
      <c r="P67" s="9"/>
      <c r="Q67" s="9"/>
      <c r="R67" s="10" t="str">
        <f>IFERROR(__xludf.DUMMYFUNCTION("""COMPUTED_VALUE"""),"K")</f>
        <v>K</v>
      </c>
      <c r="S67" s="8" t="s">
        <v>20</v>
      </c>
    </row>
    <row r="68" ht="22.5" customHeight="1">
      <c r="A68" s="6">
        <v>67.0</v>
      </c>
      <c r="B68" s="9" t="str">
        <f>IFERROR(__xludf.DUMMYFUNCTION("""COMPUTED_VALUE"""),"Menjahit Pakaian Wanita Dewasa")</f>
        <v>Menjahit Pakaian Wanita Dewasa</v>
      </c>
      <c r="C68" s="9" t="str">
        <f>IFERROR(__xludf.DUMMYFUNCTION("""COMPUTED_VALUE"""),"SMK Negeri 3 Muna")</f>
        <v>SMK Negeri 3 Muna</v>
      </c>
      <c r="D68" s="9"/>
      <c r="E68" s="9"/>
      <c r="F68" s="9" t="str">
        <f>IFERROR(__xludf.DUMMYFUNCTION("""COMPUTED_VALUE"""),"MELANI")</f>
        <v>MELANI</v>
      </c>
      <c r="G68" s="9" t="str">
        <f>IFERROR(__xludf.DUMMYFUNCTION("""COMPUTED_VALUE"""),"7403154404080001")</f>
        <v>7403154404080001</v>
      </c>
      <c r="H68" s="9"/>
      <c r="I68" s="9"/>
      <c r="J68" s="10" t="str">
        <f>IFERROR(__xludf.DUMMYFUNCTION("""COMPUTED_VALUE"""),"PEREMPUAN")</f>
        <v>PEREMPUAN</v>
      </c>
      <c r="K68" s="9" t="str">
        <f>IFERROR(__xludf.DUMMYFUNCTION("""COMPUTED_VALUE"""),"Jalan Lumba-Lumba")</f>
        <v>Jalan Lumba-Lumba</v>
      </c>
      <c r="L68" s="9"/>
      <c r="M68" s="9"/>
      <c r="N68" s="8" t="s">
        <v>19</v>
      </c>
      <c r="O68" s="9"/>
      <c r="P68" s="9"/>
      <c r="Q68" s="9"/>
      <c r="R68" s="10" t="str">
        <f>IFERROR(__xludf.DUMMYFUNCTION("""COMPUTED_VALUE"""),"K")</f>
        <v>K</v>
      </c>
      <c r="S68" s="8" t="s">
        <v>20</v>
      </c>
    </row>
    <row r="69" ht="22.5" customHeight="1">
      <c r="A69" s="6">
        <v>68.0</v>
      </c>
      <c r="B69" s="9" t="str">
        <f>IFERROR(__xludf.DUMMYFUNCTION("""COMPUTED_VALUE"""),"Menjahit Pakaian Wanita Dewasa")</f>
        <v>Menjahit Pakaian Wanita Dewasa</v>
      </c>
      <c r="C69" s="9" t="str">
        <f>IFERROR(__xludf.DUMMYFUNCTION("""COMPUTED_VALUE"""),"SMK Negeri 3 Muna")</f>
        <v>SMK Negeri 3 Muna</v>
      </c>
      <c r="D69" s="9"/>
      <c r="E69" s="9"/>
      <c r="F69" s="9" t="str">
        <f>IFERROR(__xludf.DUMMYFUNCTION("""COMPUTED_VALUE"""),"MULIANI")</f>
        <v>MULIANI</v>
      </c>
      <c r="G69" s="9" t="str">
        <f>IFERROR(__xludf.DUMMYFUNCTION("""COMPUTED_VALUE"""),"7403174106080002")</f>
        <v>7403174106080002</v>
      </c>
      <c r="H69" s="9"/>
      <c r="I69" s="9"/>
      <c r="J69" s="10" t="str">
        <f>IFERROR(__xludf.DUMMYFUNCTION("""COMPUTED_VALUE"""),"PEREMPUAN")</f>
        <v>PEREMPUAN</v>
      </c>
      <c r="K69" s="9" t="str">
        <f>IFERROR(__xludf.DUMMYFUNCTION("""COMPUTED_VALUE"""),"Desa Gone Balane")</f>
        <v>Desa Gone Balane</v>
      </c>
      <c r="L69" s="9"/>
      <c r="M69" s="9"/>
      <c r="N69" s="8" t="s">
        <v>19</v>
      </c>
      <c r="O69" s="9"/>
      <c r="P69" s="9"/>
      <c r="Q69" s="9"/>
      <c r="R69" s="10" t="str">
        <f>IFERROR(__xludf.DUMMYFUNCTION("""COMPUTED_VALUE"""),"K")</f>
        <v>K</v>
      </c>
      <c r="S69" s="8" t="s">
        <v>20</v>
      </c>
    </row>
    <row r="70" ht="22.5" customHeight="1">
      <c r="A70" s="6">
        <v>69.0</v>
      </c>
      <c r="B70" s="9" t="str">
        <f>IFERROR(__xludf.DUMMYFUNCTION("""COMPUTED_VALUE"""),"Menjahit Pakaian Wanita Dewasa")</f>
        <v>Menjahit Pakaian Wanita Dewasa</v>
      </c>
      <c r="C70" s="9" t="str">
        <f>IFERROR(__xludf.DUMMYFUNCTION("""COMPUTED_VALUE"""),"SMK Negeri 3 Muna")</f>
        <v>SMK Negeri 3 Muna</v>
      </c>
      <c r="D70" s="9"/>
      <c r="E70" s="9"/>
      <c r="F70" s="9" t="str">
        <f>IFERROR(__xludf.DUMMYFUNCTION("""COMPUTED_VALUE"""),"MURATI")</f>
        <v>MURATI</v>
      </c>
      <c r="G70" s="9" t="str">
        <f>IFERROR(__xludf.DUMMYFUNCTION("""COMPUTED_VALUE"""),"7403094707070201")</f>
        <v>7403094707070201</v>
      </c>
      <c r="H70" s="9"/>
      <c r="I70" s="9"/>
      <c r="J70" s="10" t="str">
        <f>IFERROR(__xludf.DUMMYFUNCTION("""COMPUTED_VALUE"""),"PEREMPUAN")</f>
        <v>PEREMPUAN</v>
      </c>
      <c r="K70" s="9" t="str">
        <f>IFERROR(__xludf.DUMMYFUNCTION("""COMPUTED_VALUE"""),"Desa Lasalepa")</f>
        <v>Desa Lasalepa</v>
      </c>
      <c r="L70" s="9"/>
      <c r="M70" s="9"/>
      <c r="N70" s="8" t="s">
        <v>19</v>
      </c>
      <c r="O70" s="9"/>
      <c r="P70" s="9"/>
      <c r="Q70" s="9"/>
      <c r="R70" s="10" t="str">
        <f>IFERROR(__xludf.DUMMYFUNCTION("""COMPUTED_VALUE"""),"K")</f>
        <v>K</v>
      </c>
      <c r="S70" s="8" t="s">
        <v>20</v>
      </c>
    </row>
    <row r="71" ht="22.5" customHeight="1">
      <c r="A71" s="6">
        <v>70.0</v>
      </c>
      <c r="B71" s="9" t="str">
        <f>IFERROR(__xludf.DUMMYFUNCTION("""COMPUTED_VALUE"""),"Menjahit Pakaian Wanita Dewasa")</f>
        <v>Menjahit Pakaian Wanita Dewasa</v>
      </c>
      <c r="C71" s="9" t="str">
        <f>IFERROR(__xludf.DUMMYFUNCTION("""COMPUTED_VALUE"""),"SMK Negeri 3 Muna")</f>
        <v>SMK Negeri 3 Muna</v>
      </c>
      <c r="D71" s="9"/>
      <c r="E71" s="9"/>
      <c r="F71" s="9" t="str">
        <f>IFERROR(__xludf.DUMMYFUNCTION("""COMPUTED_VALUE"""),"MUSFIRA")</f>
        <v>MUSFIRA</v>
      </c>
      <c r="G71" s="9" t="str">
        <f>IFERROR(__xludf.DUMMYFUNCTION("""COMPUTED_VALUE"""),"7403104203090002")</f>
        <v>7403104203090002</v>
      </c>
      <c r="H71" s="9"/>
      <c r="I71" s="9"/>
      <c r="J71" s="10" t="str">
        <f>IFERROR(__xludf.DUMMYFUNCTION("""COMPUTED_VALUE"""),"PEREMPUAN")</f>
        <v>PEREMPUAN</v>
      </c>
      <c r="K71" s="9" t="str">
        <f>IFERROR(__xludf.DUMMYFUNCTION("""COMPUTED_VALUE"""),"Jl. Wirabuana Desa Wawesa")</f>
        <v>Jl. Wirabuana Desa Wawesa</v>
      </c>
      <c r="L71" s="9"/>
      <c r="M71" s="9"/>
      <c r="N71" s="8" t="s">
        <v>19</v>
      </c>
      <c r="O71" s="9"/>
      <c r="P71" s="9"/>
      <c r="Q71" s="9"/>
      <c r="R71" s="10" t="str">
        <f>IFERROR(__xludf.DUMMYFUNCTION("""COMPUTED_VALUE"""),"K")</f>
        <v>K</v>
      </c>
      <c r="S71" s="8" t="s">
        <v>20</v>
      </c>
    </row>
    <row r="72" ht="22.5" customHeight="1">
      <c r="A72" s="6">
        <v>71.0</v>
      </c>
      <c r="B72" s="9" t="str">
        <f>IFERROR(__xludf.DUMMYFUNCTION("""COMPUTED_VALUE"""),"Menjahit Pakaian Wanita Dewasa")</f>
        <v>Menjahit Pakaian Wanita Dewasa</v>
      </c>
      <c r="C72" s="9" t="str">
        <f>IFERROR(__xludf.DUMMYFUNCTION("""COMPUTED_VALUE"""),"SMK Negeri 3 Muna")</f>
        <v>SMK Negeri 3 Muna</v>
      </c>
      <c r="D72" s="9"/>
      <c r="E72" s="9"/>
      <c r="F72" s="9" t="str">
        <f>IFERROR(__xludf.DUMMYFUNCTION("""COMPUTED_VALUE"""),"NATASYA")</f>
        <v>NATASYA</v>
      </c>
      <c r="G72" s="9" t="str">
        <f>IFERROR(__xludf.DUMMYFUNCTION("""COMPUTED_VALUE"""),"7403116010080001")</f>
        <v>7403116010080001</v>
      </c>
      <c r="H72" s="9"/>
      <c r="I72" s="9"/>
      <c r="J72" s="10" t="str">
        <f>IFERROR(__xludf.DUMMYFUNCTION("""COMPUTED_VALUE"""),"PEREMPUAN")</f>
        <v>PEREMPUAN</v>
      </c>
      <c r="K72" s="9" t="str">
        <f>IFERROR(__xludf.DUMMYFUNCTION("""COMPUTED_VALUE"""),"Jln. S Gol Daria")</f>
        <v>Jln. S Gol Daria</v>
      </c>
      <c r="L72" s="9"/>
      <c r="M72" s="9"/>
      <c r="N72" s="8" t="s">
        <v>19</v>
      </c>
      <c r="O72" s="9"/>
      <c r="P72" s="9"/>
      <c r="Q72" s="9"/>
      <c r="R72" s="10" t="str">
        <f>IFERROR(__xludf.DUMMYFUNCTION("""COMPUTED_VALUE"""),"K")</f>
        <v>K</v>
      </c>
      <c r="S72" s="8" t="s">
        <v>20</v>
      </c>
    </row>
    <row r="73" ht="22.5" customHeight="1">
      <c r="A73" s="6">
        <v>72.0</v>
      </c>
      <c r="B73" s="9" t="str">
        <f>IFERROR(__xludf.DUMMYFUNCTION("""COMPUTED_VALUE"""),"Menjahit Pakaian Wanita Dewasa")</f>
        <v>Menjahit Pakaian Wanita Dewasa</v>
      </c>
      <c r="C73" s="9" t="str">
        <f>IFERROR(__xludf.DUMMYFUNCTION("""COMPUTED_VALUE"""),"SMK Negeri 3 Muna")</f>
        <v>SMK Negeri 3 Muna</v>
      </c>
      <c r="D73" s="9"/>
      <c r="E73" s="9"/>
      <c r="F73" s="9" t="str">
        <f>IFERROR(__xludf.DUMMYFUNCTION("""COMPUTED_VALUE"""),"NENI TRIANINGSIH")</f>
        <v>NENI TRIANINGSIH</v>
      </c>
      <c r="G73" s="9" t="str">
        <f>IFERROR(__xludf.DUMMYFUNCTION("""COMPUTED_VALUE"""),"7403135005060201")</f>
        <v>7403135005060201</v>
      </c>
      <c r="H73" s="9"/>
      <c r="I73" s="9"/>
      <c r="J73" s="10" t="str">
        <f>IFERROR(__xludf.DUMMYFUNCTION("""COMPUTED_VALUE"""),"PEREMPUAN")</f>
        <v>PEREMPUAN</v>
      </c>
      <c r="K73" s="9" t="str">
        <f>IFERROR(__xludf.DUMMYFUNCTION("""COMPUTED_VALUE"""),"Kelurahan Waara Kecamatan Lohia")</f>
        <v>Kelurahan Waara Kecamatan Lohia</v>
      </c>
      <c r="L73" s="9"/>
      <c r="M73" s="9"/>
      <c r="N73" s="8" t="s">
        <v>19</v>
      </c>
      <c r="O73" s="9"/>
      <c r="P73" s="9"/>
      <c r="Q73" s="9"/>
      <c r="R73" s="10" t="str">
        <f>IFERROR(__xludf.DUMMYFUNCTION("""COMPUTED_VALUE"""),"K")</f>
        <v>K</v>
      </c>
      <c r="S73" s="8" t="s">
        <v>20</v>
      </c>
    </row>
    <row r="74" ht="22.5" customHeight="1">
      <c r="A74" s="6">
        <v>73.0</v>
      </c>
      <c r="B74" s="9" t="str">
        <f>IFERROR(__xludf.DUMMYFUNCTION("""COMPUTED_VALUE"""),"Menjahit Pakaian Wanita Dewasa")</f>
        <v>Menjahit Pakaian Wanita Dewasa</v>
      </c>
      <c r="C74" s="9" t="str">
        <f>IFERROR(__xludf.DUMMYFUNCTION("""COMPUTED_VALUE"""),"SMK Negeri 3 Muna")</f>
        <v>SMK Negeri 3 Muna</v>
      </c>
      <c r="D74" s="9"/>
      <c r="E74" s="9"/>
      <c r="F74" s="9" t="str">
        <f>IFERROR(__xludf.DUMMYFUNCTION("""COMPUTED_VALUE"""),"NITA ARSINTA")</f>
        <v>NITA ARSINTA</v>
      </c>
      <c r="G74" s="9" t="str">
        <f>IFERROR(__xludf.DUMMYFUNCTION("""COMPUTED_VALUE"""),"7403204404080001")</f>
        <v>7403204404080001</v>
      </c>
      <c r="H74" s="9"/>
      <c r="I74" s="9"/>
      <c r="J74" s="10" t="str">
        <f>IFERROR(__xludf.DUMMYFUNCTION("""COMPUTED_VALUE"""),"PEREMPUAN")</f>
        <v>PEREMPUAN</v>
      </c>
      <c r="K74" s="9" t="str">
        <f>IFERROR(__xludf.DUMMYFUNCTION("""COMPUTED_VALUE"""),"Desa Mabolu")</f>
        <v>Desa Mabolu</v>
      </c>
      <c r="L74" s="9"/>
      <c r="M74" s="9"/>
      <c r="N74" s="8" t="s">
        <v>19</v>
      </c>
      <c r="O74" s="9"/>
      <c r="P74" s="9"/>
      <c r="Q74" s="9"/>
      <c r="R74" s="10" t="str">
        <f>IFERROR(__xludf.DUMMYFUNCTION("""COMPUTED_VALUE"""),"K")</f>
        <v>K</v>
      </c>
      <c r="S74" s="8" t="s">
        <v>20</v>
      </c>
    </row>
    <row r="75" ht="22.5" customHeight="1">
      <c r="A75" s="6">
        <v>74.0</v>
      </c>
      <c r="B75" s="9" t="str">
        <f>IFERROR(__xludf.DUMMYFUNCTION("""COMPUTED_VALUE"""),"Menjahit Pakaian Wanita Dewasa")</f>
        <v>Menjahit Pakaian Wanita Dewasa</v>
      </c>
      <c r="C75" s="9" t="str">
        <f>IFERROR(__xludf.DUMMYFUNCTION("""COMPUTED_VALUE"""),"SMK Negeri 3 Muna")</f>
        <v>SMK Negeri 3 Muna</v>
      </c>
      <c r="D75" s="9"/>
      <c r="E75" s="9"/>
      <c r="F75" s="9" t="str">
        <f>IFERROR(__xludf.DUMMYFUNCTION("""COMPUTED_VALUE"""),"NUNIQ  AQYLA")</f>
        <v>NUNIQ  AQYLA</v>
      </c>
      <c r="G75" s="9" t="str">
        <f>IFERROR(__xludf.DUMMYFUNCTION("""COMPUTED_VALUE"""),"7403156411090001")</f>
        <v>7403156411090001</v>
      </c>
      <c r="H75" s="9"/>
      <c r="I75" s="9"/>
      <c r="J75" s="10" t="str">
        <f>IFERROR(__xludf.DUMMYFUNCTION("""COMPUTED_VALUE"""),"PEREMPUAN")</f>
        <v>PEREMPUAN</v>
      </c>
      <c r="K75" s="9" t="str">
        <f>IFERROR(__xludf.DUMMYFUNCTION("""COMPUTED_VALUE"""),"Jl. Madesabara Lrg. BTN SMAN 1 RAHA")</f>
        <v>Jl. Madesabara Lrg. BTN SMAN 1 RAHA</v>
      </c>
      <c r="L75" s="9"/>
      <c r="M75" s="9"/>
      <c r="N75" s="8" t="s">
        <v>19</v>
      </c>
      <c r="O75" s="9"/>
      <c r="P75" s="9"/>
      <c r="Q75" s="9"/>
      <c r="R75" s="10" t="str">
        <f>IFERROR(__xludf.DUMMYFUNCTION("""COMPUTED_VALUE"""),"K")</f>
        <v>K</v>
      </c>
      <c r="S75" s="8" t="s">
        <v>20</v>
      </c>
    </row>
    <row r="76" ht="22.5" customHeight="1">
      <c r="A76" s="6">
        <v>75.0</v>
      </c>
      <c r="B76" s="9" t="str">
        <f>IFERROR(__xludf.DUMMYFUNCTION("""COMPUTED_VALUE"""),"Menjahit Pakaian Wanita Dewasa")</f>
        <v>Menjahit Pakaian Wanita Dewasa</v>
      </c>
      <c r="C76" s="9" t="str">
        <f>IFERROR(__xludf.DUMMYFUNCTION("""COMPUTED_VALUE"""),"SMK Negeri 3 Muna")</f>
        <v>SMK Negeri 3 Muna</v>
      </c>
      <c r="D76" s="9"/>
      <c r="E76" s="9"/>
      <c r="F76" s="9" t="str">
        <f>IFERROR(__xludf.DUMMYFUNCTION("""COMPUTED_VALUE"""),"NUR  CAHAYA")</f>
        <v>NUR  CAHAYA</v>
      </c>
      <c r="G76" s="9" t="str">
        <f>IFERROR(__xludf.DUMMYFUNCTION("""COMPUTED_VALUE"""),"7403105701080201")</f>
        <v>7403105701080201</v>
      </c>
      <c r="H76" s="9"/>
      <c r="I76" s="9"/>
      <c r="J76" s="10" t="str">
        <f>IFERROR(__xludf.DUMMYFUNCTION("""COMPUTED_VALUE"""),"PEREMPUAN")</f>
        <v>PEREMPUAN</v>
      </c>
      <c r="K76" s="9" t="str">
        <f>IFERROR(__xludf.DUMMYFUNCTION("""COMPUTED_VALUE"""),"Jl. Gambas")</f>
        <v>Jl. Gambas</v>
      </c>
      <c r="L76" s="9"/>
      <c r="M76" s="9"/>
      <c r="N76" s="8" t="s">
        <v>19</v>
      </c>
      <c r="O76" s="9"/>
      <c r="P76" s="9"/>
      <c r="Q76" s="9"/>
      <c r="R76" s="10" t="str">
        <f>IFERROR(__xludf.DUMMYFUNCTION("""COMPUTED_VALUE"""),"K")</f>
        <v>K</v>
      </c>
      <c r="S76" s="8" t="s">
        <v>20</v>
      </c>
    </row>
    <row r="77" ht="22.5" customHeight="1">
      <c r="A77" s="6">
        <v>76.0</v>
      </c>
      <c r="B77" s="9" t="str">
        <f>IFERROR(__xludf.DUMMYFUNCTION("""COMPUTED_VALUE"""),"Menjahit Pakaian Wanita Dewasa")</f>
        <v>Menjahit Pakaian Wanita Dewasa</v>
      </c>
      <c r="C77" s="9" t="str">
        <f>IFERROR(__xludf.DUMMYFUNCTION("""COMPUTED_VALUE"""),"SMK Negeri 3 Muna")</f>
        <v>SMK Negeri 3 Muna</v>
      </c>
      <c r="D77" s="9"/>
      <c r="E77" s="9"/>
      <c r="F77" s="9" t="str">
        <f>IFERROR(__xludf.DUMMYFUNCTION("""COMPUTED_VALUE"""),"PUTRI ROSIMA WATI")</f>
        <v>PUTRI ROSIMA WATI</v>
      </c>
      <c r="G77" s="9" t="str">
        <f>IFERROR(__xludf.DUMMYFUNCTION("""COMPUTED_VALUE"""),"7403154201090001")</f>
        <v>7403154201090001</v>
      </c>
      <c r="H77" s="9"/>
      <c r="I77" s="9"/>
      <c r="J77" s="10" t="str">
        <f>IFERROR(__xludf.DUMMYFUNCTION("""COMPUTED_VALUE"""),"PEREMPUAN")</f>
        <v>PEREMPUAN</v>
      </c>
      <c r="K77" s="9" t="str">
        <f>IFERROR(__xludf.DUMMYFUNCTION("""COMPUTED_VALUE"""),"Desa Wawesa")</f>
        <v>Desa Wawesa</v>
      </c>
      <c r="L77" s="9"/>
      <c r="M77" s="9"/>
      <c r="N77" s="8" t="s">
        <v>19</v>
      </c>
      <c r="O77" s="9"/>
      <c r="P77" s="9"/>
      <c r="Q77" s="9"/>
      <c r="R77" s="10" t="str">
        <f>IFERROR(__xludf.DUMMYFUNCTION("""COMPUTED_VALUE"""),"K")</f>
        <v>K</v>
      </c>
      <c r="S77" s="8" t="s">
        <v>20</v>
      </c>
    </row>
    <row r="78" ht="22.5" customHeight="1">
      <c r="A78" s="6">
        <v>77.0</v>
      </c>
      <c r="B78" s="9" t="str">
        <f>IFERROR(__xludf.DUMMYFUNCTION("""COMPUTED_VALUE"""),"Menjahit Pakaian Wanita Dewasa")</f>
        <v>Menjahit Pakaian Wanita Dewasa</v>
      </c>
      <c r="C78" s="9" t="str">
        <f>IFERROR(__xludf.DUMMYFUNCTION("""COMPUTED_VALUE"""),"SMK Negeri 3 Muna")</f>
        <v>SMK Negeri 3 Muna</v>
      </c>
      <c r="D78" s="9"/>
      <c r="E78" s="9"/>
      <c r="F78" s="9" t="str">
        <f>IFERROR(__xludf.DUMMYFUNCTION("""COMPUTED_VALUE"""),"RAHMA  KOVIVA")</f>
        <v>RAHMA  KOVIVA</v>
      </c>
      <c r="G78" s="9" t="str">
        <f>IFERROR(__xludf.DUMMYFUNCTION("""COMPUTED_VALUE"""),"7403115007080001")</f>
        <v>7403115007080001</v>
      </c>
      <c r="H78" s="9"/>
      <c r="I78" s="9"/>
      <c r="J78" s="10" t="str">
        <f>IFERROR(__xludf.DUMMYFUNCTION("""COMPUTED_VALUE"""),"PEREMPUAN")</f>
        <v>PEREMPUAN</v>
      </c>
      <c r="K78" s="9" t="str">
        <f>IFERROR(__xludf.DUMMYFUNCTION("""COMPUTED_VALUE"""),"-")</f>
        <v>-</v>
      </c>
      <c r="L78" s="9"/>
      <c r="M78" s="9"/>
      <c r="N78" s="8" t="s">
        <v>19</v>
      </c>
      <c r="O78" s="9"/>
      <c r="P78" s="9"/>
      <c r="Q78" s="9"/>
      <c r="R78" s="10" t="str">
        <f>IFERROR(__xludf.DUMMYFUNCTION("""COMPUTED_VALUE"""),"K")</f>
        <v>K</v>
      </c>
      <c r="S78" s="8" t="s">
        <v>20</v>
      </c>
    </row>
    <row r="79" ht="22.5" customHeight="1">
      <c r="A79" s="6">
        <v>78.0</v>
      </c>
      <c r="B79" s="9" t="str">
        <f>IFERROR(__xludf.DUMMYFUNCTION("""COMPUTED_VALUE"""),"Menjahit Pakaian Wanita Dewasa")</f>
        <v>Menjahit Pakaian Wanita Dewasa</v>
      </c>
      <c r="C79" s="9" t="str">
        <f>IFERROR(__xludf.DUMMYFUNCTION("""COMPUTED_VALUE"""),"SMK Negeri 3 Muna")</f>
        <v>SMK Negeri 3 Muna</v>
      </c>
      <c r="D79" s="9"/>
      <c r="E79" s="9"/>
      <c r="F79" s="9" t="str">
        <f>IFERROR(__xludf.DUMMYFUNCTION("""COMPUTED_VALUE"""),"REZKY PURNAMA")</f>
        <v>REZKY PURNAMA</v>
      </c>
      <c r="G79" s="9" t="str">
        <f>IFERROR(__xludf.DUMMYFUNCTION("""COMPUTED_VALUE"""),"7403155906080001")</f>
        <v>7403155906080001</v>
      </c>
      <c r="H79" s="9"/>
      <c r="I79" s="9"/>
      <c r="J79" s="10" t="str">
        <f>IFERROR(__xludf.DUMMYFUNCTION("""COMPUTED_VALUE"""),"PEREMPUAN")</f>
        <v>PEREMPUAN</v>
      </c>
      <c r="K79" s="9" t="str">
        <f>IFERROR(__xludf.DUMMYFUNCTION("""COMPUTED_VALUE"""),"Jalan Made Sabara")</f>
        <v>Jalan Made Sabara</v>
      </c>
      <c r="L79" s="9"/>
      <c r="M79" s="9"/>
      <c r="N79" s="8" t="s">
        <v>19</v>
      </c>
      <c r="O79" s="9"/>
      <c r="P79" s="9"/>
      <c r="Q79" s="9"/>
      <c r="R79" s="10" t="str">
        <f>IFERROR(__xludf.DUMMYFUNCTION("""COMPUTED_VALUE"""),"K")</f>
        <v>K</v>
      </c>
      <c r="S79" s="8" t="s">
        <v>20</v>
      </c>
    </row>
    <row r="80" ht="22.5" customHeight="1">
      <c r="A80" s="6">
        <v>79.0</v>
      </c>
      <c r="B80" s="9" t="str">
        <f>IFERROR(__xludf.DUMMYFUNCTION("""COMPUTED_VALUE"""),"Menjahit Pakaian Wanita Dewasa")</f>
        <v>Menjahit Pakaian Wanita Dewasa</v>
      </c>
      <c r="C80" s="9" t="str">
        <f>IFERROR(__xludf.DUMMYFUNCTION("""COMPUTED_VALUE"""),"SMK Negeri 3 Muna")</f>
        <v>SMK Negeri 3 Muna</v>
      </c>
      <c r="D80" s="9"/>
      <c r="E80" s="9"/>
      <c r="F80" s="9" t="str">
        <f>IFERROR(__xludf.DUMMYFUNCTION("""COMPUTED_VALUE"""),"SALSABILA")</f>
        <v>SALSABILA</v>
      </c>
      <c r="G80" s="9" t="str">
        <f>IFERROR(__xludf.DUMMYFUNCTION("""COMPUTED_VALUE"""),"7403186110080001")</f>
        <v>7403186110080001</v>
      </c>
      <c r="H80" s="9"/>
      <c r="I80" s="9"/>
      <c r="J80" s="10" t="str">
        <f>IFERROR(__xludf.DUMMYFUNCTION("""COMPUTED_VALUE"""),"PEREMPUAN")</f>
        <v>PEREMPUAN</v>
      </c>
      <c r="K80" s="9" t="str">
        <f>IFERROR(__xludf.DUMMYFUNCTION("""COMPUTED_VALUE"""),"Desa Lohia")</f>
        <v>Desa Lohia</v>
      </c>
      <c r="L80" s="9"/>
      <c r="M80" s="9"/>
      <c r="N80" s="8" t="s">
        <v>19</v>
      </c>
      <c r="O80" s="9"/>
      <c r="P80" s="9"/>
      <c r="Q80" s="9"/>
      <c r="R80" s="10" t="str">
        <f>IFERROR(__xludf.DUMMYFUNCTION("""COMPUTED_VALUE"""),"K")</f>
        <v>K</v>
      </c>
      <c r="S80" s="8" t="s">
        <v>20</v>
      </c>
    </row>
    <row r="81" ht="22.5" customHeight="1">
      <c r="A81" s="6">
        <v>80.0</v>
      </c>
      <c r="B81" s="9" t="str">
        <f>IFERROR(__xludf.DUMMYFUNCTION("""COMPUTED_VALUE"""),"Menjahit Pakaian Wanita Dewasa")</f>
        <v>Menjahit Pakaian Wanita Dewasa</v>
      </c>
      <c r="C81" s="9" t="str">
        <f>IFERROR(__xludf.DUMMYFUNCTION("""COMPUTED_VALUE"""),"SMK Negeri 3 Muna")</f>
        <v>SMK Negeri 3 Muna</v>
      </c>
      <c r="D81" s="9"/>
      <c r="E81" s="9"/>
      <c r="F81" s="9" t="str">
        <f>IFERROR(__xludf.DUMMYFUNCTION("""COMPUTED_VALUE"""),"SALWATI")</f>
        <v>SALWATI</v>
      </c>
      <c r="G81" s="9" t="str">
        <f>IFERROR(__xludf.DUMMYFUNCTION("""COMPUTED_VALUE"""),"7403065205070001")</f>
        <v>7403065205070001</v>
      </c>
      <c r="H81" s="9"/>
      <c r="I81" s="9"/>
      <c r="J81" s="10" t="str">
        <f>IFERROR(__xludf.DUMMYFUNCTION("""COMPUTED_VALUE"""),"PEREMPUAN")</f>
        <v>PEREMPUAN</v>
      </c>
      <c r="K81" s="9" t="str">
        <f>IFERROR(__xludf.DUMMYFUNCTION("""COMPUTED_VALUE"""),"Desa Napalakuria")</f>
        <v>Desa Napalakuria</v>
      </c>
      <c r="L81" s="9"/>
      <c r="M81" s="9"/>
      <c r="N81" s="8" t="s">
        <v>19</v>
      </c>
      <c r="O81" s="9"/>
      <c r="P81" s="9"/>
      <c r="Q81" s="9"/>
      <c r="R81" s="10" t="str">
        <f>IFERROR(__xludf.DUMMYFUNCTION("""COMPUTED_VALUE"""),"K")</f>
        <v>K</v>
      </c>
      <c r="S81" s="8" t="s">
        <v>20</v>
      </c>
    </row>
    <row r="82" ht="22.5" customHeight="1">
      <c r="A82" s="6">
        <v>81.0</v>
      </c>
      <c r="B82" s="9" t="str">
        <f>IFERROR(__xludf.DUMMYFUNCTION("""COMPUTED_VALUE"""),"Menjahit Pakaian Wanita Dewasa")</f>
        <v>Menjahit Pakaian Wanita Dewasa</v>
      </c>
      <c r="C82" s="9" t="str">
        <f>IFERROR(__xludf.DUMMYFUNCTION("""COMPUTED_VALUE"""),"SMK Negeri 3 Muna")</f>
        <v>SMK Negeri 3 Muna</v>
      </c>
      <c r="D82" s="9"/>
      <c r="E82" s="9"/>
      <c r="F82" s="9" t="str">
        <f>IFERROR(__xludf.DUMMYFUNCTION("""COMPUTED_VALUE"""),"SEYILA NULINGO")</f>
        <v>SEYILA NULINGO</v>
      </c>
      <c r="G82" s="9" t="str">
        <f>IFERROR(__xludf.DUMMYFUNCTION("""COMPUTED_VALUE"""),"7201087008070001")</f>
        <v>7201087008070001</v>
      </c>
      <c r="H82" s="9"/>
      <c r="I82" s="9"/>
      <c r="J82" s="10" t="str">
        <f>IFERROR(__xludf.DUMMYFUNCTION("""COMPUTED_VALUE"""),"PEREMPUAN")</f>
        <v>PEREMPUAN</v>
      </c>
      <c r="K82" s="9" t="str">
        <f>IFERROR(__xludf.DUMMYFUNCTION("""COMPUTED_VALUE"""),"Jl.lumba-lumba lorong sinar las")</f>
        <v>Jl.lumba-lumba lorong sinar las</v>
      </c>
      <c r="L82" s="9"/>
      <c r="M82" s="9"/>
      <c r="N82" s="8" t="s">
        <v>19</v>
      </c>
      <c r="O82" s="9"/>
      <c r="P82" s="9"/>
      <c r="Q82" s="9"/>
      <c r="R82" s="10" t="str">
        <f>IFERROR(__xludf.DUMMYFUNCTION("""COMPUTED_VALUE"""),"K")</f>
        <v>K</v>
      </c>
      <c r="S82" s="8" t="s">
        <v>20</v>
      </c>
    </row>
    <row r="83" ht="22.5" customHeight="1">
      <c r="A83" s="6">
        <v>82.0</v>
      </c>
      <c r="B83" s="9" t="str">
        <f>IFERROR(__xludf.DUMMYFUNCTION("""COMPUTED_VALUE"""),"Menjahit Pakaian Wanita Dewasa")</f>
        <v>Menjahit Pakaian Wanita Dewasa</v>
      </c>
      <c r="C83" s="9" t="str">
        <f>IFERROR(__xludf.DUMMYFUNCTION("""COMPUTED_VALUE"""),"SMK Negeri 3 Muna")</f>
        <v>SMK Negeri 3 Muna</v>
      </c>
      <c r="D83" s="9"/>
      <c r="E83" s="9"/>
      <c r="F83" s="9" t="str">
        <f>IFERROR(__xludf.DUMMYFUNCTION("""COMPUTED_VALUE"""),"SITI NUR AISYAH")</f>
        <v>SITI NUR AISYAH</v>
      </c>
      <c r="G83" s="9" t="str">
        <f>IFERROR(__xludf.DUMMYFUNCTION("""COMPUTED_VALUE"""),"7403207004080002")</f>
        <v>7403207004080002</v>
      </c>
      <c r="H83" s="9"/>
      <c r="I83" s="9"/>
      <c r="J83" s="10" t="str">
        <f>IFERROR(__xludf.DUMMYFUNCTION("""COMPUTED_VALUE"""),"PEREMPUAN")</f>
        <v>PEREMPUAN</v>
      </c>
      <c r="K83" s="9" t="str">
        <f>IFERROR(__xludf.DUMMYFUNCTION("""COMPUTED_VALUE"""),"Desa Masalili Kecamatan Kontunaga")</f>
        <v>Desa Masalili Kecamatan Kontunaga</v>
      </c>
      <c r="L83" s="9"/>
      <c r="M83" s="9"/>
      <c r="N83" s="8" t="s">
        <v>19</v>
      </c>
      <c r="O83" s="9"/>
      <c r="P83" s="9"/>
      <c r="Q83" s="9"/>
      <c r="R83" s="10" t="str">
        <f>IFERROR(__xludf.DUMMYFUNCTION("""COMPUTED_VALUE"""),"K")</f>
        <v>K</v>
      </c>
      <c r="S83" s="8" t="s">
        <v>20</v>
      </c>
    </row>
    <row r="84" ht="22.5" customHeight="1">
      <c r="A84" s="6">
        <v>83.0</v>
      </c>
      <c r="B84" s="9" t="str">
        <f>IFERROR(__xludf.DUMMYFUNCTION("""COMPUTED_VALUE"""),"Menjahit Pakaian Wanita Dewasa")</f>
        <v>Menjahit Pakaian Wanita Dewasa</v>
      </c>
      <c r="C84" s="9" t="str">
        <f>IFERROR(__xludf.DUMMYFUNCTION("""COMPUTED_VALUE"""),"SMK Negeri 3 Muna")</f>
        <v>SMK Negeri 3 Muna</v>
      </c>
      <c r="D84" s="9"/>
      <c r="E84" s="9"/>
      <c r="F84" s="9" t="str">
        <f>IFERROR(__xludf.DUMMYFUNCTION("""COMPUTED_VALUE"""),"SRI WAHYU ANNISA")</f>
        <v>SRI WAHYU ANNISA</v>
      </c>
      <c r="G84" s="9" t="str">
        <f>IFERROR(__xludf.DUMMYFUNCTION("""COMPUTED_VALUE"""),"7403155210080001")</f>
        <v>7403155210080001</v>
      </c>
      <c r="H84" s="9"/>
      <c r="I84" s="9"/>
      <c r="J84" s="10" t="str">
        <f>IFERROR(__xludf.DUMMYFUNCTION("""COMPUTED_VALUE"""),"PEREMPUAN")</f>
        <v>PEREMPUAN</v>
      </c>
      <c r="K84" s="9" t="str">
        <f>IFERROR(__xludf.DUMMYFUNCTION("""COMPUTED_VALUE"""),"Jalan Wirabuana Desa Wawesa")</f>
        <v>Jalan Wirabuana Desa Wawesa</v>
      </c>
      <c r="L84" s="9"/>
      <c r="M84" s="9"/>
      <c r="N84" s="8" t="s">
        <v>19</v>
      </c>
      <c r="O84" s="9"/>
      <c r="P84" s="9"/>
      <c r="Q84" s="9"/>
      <c r="R84" s="10" t="str">
        <f>IFERROR(__xludf.DUMMYFUNCTION("""COMPUTED_VALUE"""),"K")</f>
        <v>K</v>
      </c>
      <c r="S84" s="8" t="s">
        <v>20</v>
      </c>
    </row>
    <row r="85" ht="22.5" customHeight="1">
      <c r="A85" s="6">
        <v>84.0</v>
      </c>
      <c r="B85" s="9" t="str">
        <f>IFERROR(__xludf.DUMMYFUNCTION("""COMPUTED_VALUE"""),"Menjahit Pakaian Wanita Dewasa")</f>
        <v>Menjahit Pakaian Wanita Dewasa</v>
      </c>
      <c r="C85" s="9" t="str">
        <f>IFERROR(__xludf.DUMMYFUNCTION("""COMPUTED_VALUE"""),"SMK Negeri 3 Muna")</f>
        <v>SMK Negeri 3 Muna</v>
      </c>
      <c r="D85" s="9"/>
      <c r="E85" s="9"/>
      <c r="F85" s="9" t="str">
        <f>IFERROR(__xludf.DUMMYFUNCTION("""COMPUTED_VALUE"""),"SYAKHILA THOMAS")</f>
        <v>SYAKHILA THOMAS</v>
      </c>
      <c r="G85" s="9" t="str">
        <f>IFERROR(__xludf.DUMMYFUNCTION("""COMPUTED_VALUE"""),"7371114801080016")</f>
        <v>7371114801080016</v>
      </c>
      <c r="H85" s="9"/>
      <c r="I85" s="9"/>
      <c r="J85" s="10" t="str">
        <f>IFERROR(__xludf.DUMMYFUNCTION("""COMPUTED_VALUE"""),"PEREMPUAN")</f>
        <v>PEREMPUAN</v>
      </c>
      <c r="K85" s="9" t="str">
        <f>IFERROR(__xludf.DUMMYFUNCTION("""COMPUTED_VALUE"""),"Jalan Kihajar Dewantoro")</f>
        <v>Jalan Kihajar Dewantoro</v>
      </c>
      <c r="L85" s="9"/>
      <c r="M85" s="9"/>
      <c r="N85" s="8" t="s">
        <v>19</v>
      </c>
      <c r="O85" s="9"/>
      <c r="P85" s="9"/>
      <c r="Q85" s="9"/>
      <c r="R85" s="10" t="str">
        <f>IFERROR(__xludf.DUMMYFUNCTION("""COMPUTED_VALUE"""),"K")</f>
        <v>K</v>
      </c>
      <c r="S85" s="8" t="s">
        <v>20</v>
      </c>
    </row>
    <row r="86" ht="22.5" customHeight="1">
      <c r="A86" s="6">
        <v>85.0</v>
      </c>
      <c r="B86" s="9" t="str">
        <f>IFERROR(__xludf.DUMMYFUNCTION("""COMPUTED_VALUE"""),"Menjahit Pakaian Wanita Dewasa")</f>
        <v>Menjahit Pakaian Wanita Dewasa</v>
      </c>
      <c r="C86" s="9" t="str">
        <f>IFERROR(__xludf.DUMMYFUNCTION("""COMPUTED_VALUE"""),"SMK Negeri 3 Muna")</f>
        <v>SMK Negeri 3 Muna</v>
      </c>
      <c r="D86" s="9"/>
      <c r="E86" s="9"/>
      <c r="F86" s="9" t="str">
        <f>IFERROR(__xludf.DUMMYFUNCTION("""COMPUTED_VALUE"""),"SYELIKHA THOMAS")</f>
        <v>SYELIKHA THOMAS</v>
      </c>
      <c r="G86" s="9" t="str">
        <f>IFERROR(__xludf.DUMMYFUNCTION("""COMPUTED_VALUE"""),"7371114801080015")</f>
        <v>7371114801080015</v>
      </c>
      <c r="H86" s="9"/>
      <c r="I86" s="9"/>
      <c r="J86" s="10" t="str">
        <f>IFERROR(__xludf.DUMMYFUNCTION("""COMPUTED_VALUE"""),"PEREMPUAN")</f>
        <v>PEREMPUAN</v>
      </c>
      <c r="K86" s="9" t="str">
        <f>IFERROR(__xludf.DUMMYFUNCTION("""COMPUTED_VALUE"""),"Jl. Kihajar Dewantoro")</f>
        <v>Jl. Kihajar Dewantoro</v>
      </c>
      <c r="L86" s="9"/>
      <c r="M86" s="9"/>
      <c r="N86" s="8" t="s">
        <v>19</v>
      </c>
      <c r="O86" s="9"/>
      <c r="P86" s="9"/>
      <c r="Q86" s="9"/>
      <c r="R86" s="10" t="str">
        <f>IFERROR(__xludf.DUMMYFUNCTION("""COMPUTED_VALUE"""),"K")</f>
        <v>K</v>
      </c>
      <c r="S86" s="8" t="s">
        <v>20</v>
      </c>
    </row>
    <row r="87" ht="22.5" customHeight="1">
      <c r="A87" s="6">
        <v>86.0</v>
      </c>
      <c r="B87" s="9" t="str">
        <f>IFERROR(__xludf.DUMMYFUNCTION("""COMPUTED_VALUE"""),"Menjahit Pakaian Wanita Dewasa")</f>
        <v>Menjahit Pakaian Wanita Dewasa</v>
      </c>
      <c r="C87" s="9" t="str">
        <f>IFERROR(__xludf.DUMMYFUNCTION("""COMPUTED_VALUE"""),"SMK Negeri 3 Muna")</f>
        <v>SMK Negeri 3 Muna</v>
      </c>
      <c r="D87" s="9"/>
      <c r="E87" s="9"/>
      <c r="F87" s="9" t="str">
        <f>IFERROR(__xludf.DUMMYFUNCTION("""COMPUTED_VALUE"""),"TSARWAH")</f>
        <v>TSARWAH</v>
      </c>
      <c r="G87" s="9" t="str">
        <f>IFERROR(__xludf.DUMMYFUNCTION("""COMPUTED_VALUE"""),"7403024106080001")</f>
        <v>7403024106080001</v>
      </c>
      <c r="H87" s="9"/>
      <c r="I87" s="9"/>
      <c r="J87" s="10" t="str">
        <f>IFERROR(__xludf.DUMMYFUNCTION("""COMPUTED_VALUE"""),"PEREMPUAN")</f>
        <v>PEREMPUAN</v>
      </c>
      <c r="K87" s="9" t="str">
        <f>IFERROR(__xludf.DUMMYFUNCTION("""COMPUTED_VALUE"""),"Desa Langku-Langku")</f>
        <v>Desa Langku-Langku</v>
      </c>
      <c r="L87" s="9"/>
      <c r="M87" s="9"/>
      <c r="N87" s="8" t="s">
        <v>19</v>
      </c>
      <c r="O87" s="9"/>
      <c r="P87" s="9"/>
      <c r="Q87" s="9"/>
      <c r="R87" s="10" t="str">
        <f>IFERROR(__xludf.DUMMYFUNCTION("""COMPUTED_VALUE"""),"K")</f>
        <v>K</v>
      </c>
      <c r="S87" s="8" t="s">
        <v>20</v>
      </c>
    </row>
    <row r="88" ht="22.5" customHeight="1">
      <c r="A88" s="6">
        <v>87.0</v>
      </c>
      <c r="B88" s="9" t="str">
        <f>IFERROR(__xludf.DUMMYFUNCTION("""COMPUTED_VALUE"""),"Menjahit Pakaian Wanita Dewasa")</f>
        <v>Menjahit Pakaian Wanita Dewasa</v>
      </c>
      <c r="C88" s="9" t="str">
        <f>IFERROR(__xludf.DUMMYFUNCTION("""COMPUTED_VALUE"""),"SMK Negeri 3 Muna")</f>
        <v>SMK Negeri 3 Muna</v>
      </c>
      <c r="D88" s="9"/>
      <c r="E88" s="9"/>
      <c r="F88" s="9" t="str">
        <f>IFERROR(__xludf.DUMMYFUNCTION("""COMPUTED_VALUE"""),"WA AISYA")</f>
        <v>WA AISYA</v>
      </c>
      <c r="G88" s="9" t="str">
        <f>IFERROR(__xludf.DUMMYFUNCTION("""COMPUTED_VALUE"""),"9203015606080001")</f>
        <v>9203015606080001</v>
      </c>
      <c r="H88" s="9"/>
      <c r="I88" s="9"/>
      <c r="J88" s="10" t="str">
        <f>IFERROR(__xludf.DUMMYFUNCTION("""COMPUTED_VALUE"""),"PEREMPUAN")</f>
        <v>PEREMPUAN</v>
      </c>
      <c r="K88" s="9" t="str">
        <f>IFERROR(__xludf.DUMMYFUNCTION("""COMPUTED_VALUE"""),"Desa Lohia")</f>
        <v>Desa Lohia</v>
      </c>
      <c r="L88" s="9"/>
      <c r="M88" s="9"/>
      <c r="N88" s="8" t="s">
        <v>19</v>
      </c>
      <c r="O88" s="9"/>
      <c r="P88" s="9"/>
      <c r="Q88" s="9"/>
      <c r="R88" s="10" t="str">
        <f>IFERROR(__xludf.DUMMYFUNCTION("""COMPUTED_VALUE"""),"K")</f>
        <v>K</v>
      </c>
      <c r="S88" s="8" t="s">
        <v>20</v>
      </c>
    </row>
    <row r="89" ht="22.5" customHeight="1">
      <c r="A89" s="6">
        <v>88.0</v>
      </c>
      <c r="B89" s="9" t="str">
        <f>IFERROR(__xludf.DUMMYFUNCTION("""COMPUTED_VALUE"""),"Menjahit Pakaian Wanita Dewasa")</f>
        <v>Menjahit Pakaian Wanita Dewasa</v>
      </c>
      <c r="C89" s="9" t="str">
        <f>IFERROR(__xludf.DUMMYFUNCTION("""COMPUTED_VALUE"""),"SMK Negeri 3 Muna")</f>
        <v>SMK Negeri 3 Muna</v>
      </c>
      <c r="D89" s="9"/>
      <c r="E89" s="9"/>
      <c r="F89" s="9" t="str">
        <f>IFERROR(__xludf.DUMMYFUNCTION("""COMPUTED_VALUE"""),"WA ODE NUR VAUZIA")</f>
        <v>WA ODE NUR VAUZIA</v>
      </c>
      <c r="G89" s="9" t="str">
        <f>IFERROR(__xludf.DUMMYFUNCTION("""COMPUTED_VALUE"""),"7403155309080001")</f>
        <v>7403155309080001</v>
      </c>
      <c r="H89" s="9"/>
      <c r="I89" s="9"/>
      <c r="J89" s="10" t="str">
        <f>IFERROR(__xludf.DUMMYFUNCTION("""COMPUTED_VALUE"""),"PEREMPUAN")</f>
        <v>PEREMPUAN</v>
      </c>
      <c r="K89" s="9" t="str">
        <f>IFERROR(__xludf.DUMMYFUNCTION("""COMPUTED_VALUE"""),"-")</f>
        <v>-</v>
      </c>
      <c r="L89" s="9"/>
      <c r="M89" s="9"/>
      <c r="N89" s="8" t="s">
        <v>19</v>
      </c>
      <c r="O89" s="9"/>
      <c r="P89" s="9"/>
      <c r="Q89" s="9"/>
      <c r="R89" s="10" t="str">
        <f>IFERROR(__xludf.DUMMYFUNCTION("""COMPUTED_VALUE"""),"K")</f>
        <v>K</v>
      </c>
      <c r="S89" s="8" t="s">
        <v>20</v>
      </c>
    </row>
    <row r="90" ht="22.5" customHeight="1">
      <c r="A90" s="6">
        <v>89.0</v>
      </c>
      <c r="B90" s="9" t="str">
        <f>IFERROR(__xludf.DUMMYFUNCTION("""COMPUTED_VALUE"""),"Menjahit Pakaian Wanita Dewasa")</f>
        <v>Menjahit Pakaian Wanita Dewasa</v>
      </c>
      <c r="C90" s="9" t="str">
        <f>IFERROR(__xludf.DUMMYFUNCTION("""COMPUTED_VALUE"""),"SMK Negeri 3 Muna")</f>
        <v>SMK Negeri 3 Muna</v>
      </c>
      <c r="D90" s="9"/>
      <c r="E90" s="9"/>
      <c r="F90" s="9" t="str">
        <f>IFERROR(__xludf.DUMMYFUNCTION("""COMPUTED_VALUE"""),"WA ODE  SITI  MAGG FIRO")</f>
        <v>WA ODE  SITI  MAGG FIRO</v>
      </c>
      <c r="G90" s="9" t="str">
        <f>IFERROR(__xludf.DUMMYFUNCTION("""COMPUTED_VALUE"""),"7403244402080002")</f>
        <v>7403244402080002</v>
      </c>
      <c r="H90" s="9"/>
      <c r="I90" s="9"/>
      <c r="J90" s="10" t="str">
        <f>IFERROR(__xludf.DUMMYFUNCTION("""COMPUTED_VALUE"""),"PEREMPUAN")</f>
        <v>PEREMPUAN</v>
      </c>
      <c r="K90" s="9" t="str">
        <f>IFERROR(__xludf.DUMMYFUNCTION("""COMPUTED_VALUE"""),"Labora I")</f>
        <v>Labora I</v>
      </c>
      <c r="L90" s="9"/>
      <c r="M90" s="9"/>
      <c r="N90" s="8" t="s">
        <v>19</v>
      </c>
      <c r="O90" s="9"/>
      <c r="P90" s="9"/>
      <c r="Q90" s="9"/>
      <c r="R90" s="10" t="str">
        <f>IFERROR(__xludf.DUMMYFUNCTION("""COMPUTED_VALUE"""),"K")</f>
        <v>K</v>
      </c>
      <c r="S90" s="8" t="s">
        <v>20</v>
      </c>
    </row>
    <row r="91" ht="22.5" customHeight="1">
      <c r="A91" s="6">
        <v>90.0</v>
      </c>
      <c r="B91" s="9" t="str">
        <f>IFERROR(__xludf.DUMMYFUNCTION("""COMPUTED_VALUE"""),"Menjahit Pakaian Wanita Dewasa")</f>
        <v>Menjahit Pakaian Wanita Dewasa</v>
      </c>
      <c r="C91" s="9" t="str">
        <f>IFERROR(__xludf.DUMMYFUNCTION("""COMPUTED_VALUE"""),"SMK Negeri 3 Muna")</f>
        <v>SMK Negeri 3 Muna</v>
      </c>
      <c r="D91" s="9"/>
      <c r="E91" s="9"/>
      <c r="F91" s="9" t="str">
        <f>IFERROR(__xludf.DUMMYFUNCTION("""COMPUTED_VALUE"""),"WA ODE SITI NUR INDAH")</f>
        <v>WA ODE SITI NUR INDAH</v>
      </c>
      <c r="G91" s="9" t="str">
        <f>IFERROR(__xludf.DUMMYFUNCTION("""COMPUTED_VALUE"""),"7403157004080001")</f>
        <v>7403157004080001</v>
      </c>
      <c r="H91" s="9"/>
      <c r="I91" s="9"/>
      <c r="J91" s="10" t="str">
        <f>IFERROR(__xludf.DUMMYFUNCTION("""COMPUTED_VALUE"""),"PEREMPUAN")</f>
        <v>PEREMPUAN</v>
      </c>
      <c r="K91" s="9" t="str">
        <f>IFERROR(__xludf.DUMMYFUNCTION("""COMPUTED_VALUE"""),"-")</f>
        <v>-</v>
      </c>
      <c r="L91" s="9"/>
      <c r="M91" s="9"/>
      <c r="N91" s="8" t="s">
        <v>19</v>
      </c>
      <c r="O91" s="9"/>
      <c r="P91" s="9"/>
      <c r="Q91" s="9"/>
      <c r="R91" s="10" t="str">
        <f>IFERROR(__xludf.DUMMYFUNCTION("""COMPUTED_VALUE"""),"K")</f>
        <v>K</v>
      </c>
      <c r="S91" s="8" t="s">
        <v>20</v>
      </c>
    </row>
    <row r="92" ht="22.5" customHeight="1">
      <c r="A92" s="6">
        <v>91.0</v>
      </c>
      <c r="B92" s="9" t="str">
        <f>IFERROR(__xludf.DUMMYFUNCTION("""COMPUTED_VALUE"""),"Menjahit Pakaian Wanita Dewasa")</f>
        <v>Menjahit Pakaian Wanita Dewasa</v>
      </c>
      <c r="C92" s="9" t="str">
        <f>IFERROR(__xludf.DUMMYFUNCTION("""COMPUTED_VALUE"""),"SMK Negeri 3 Muna")</f>
        <v>SMK Negeri 3 Muna</v>
      </c>
      <c r="D92" s="9"/>
      <c r="E92" s="9"/>
      <c r="F92" s="9" t="str">
        <f>IFERROR(__xludf.DUMMYFUNCTION("""COMPUTED_VALUE"""),"WA ODE ULFINA")</f>
        <v>WA ODE ULFINA</v>
      </c>
      <c r="G92" s="9" t="str">
        <f>IFERROR(__xludf.DUMMYFUNCTION("""COMPUTED_VALUE"""),"7403186203080002")</f>
        <v>7403186203080002</v>
      </c>
      <c r="H92" s="9"/>
      <c r="I92" s="9"/>
      <c r="J92" s="10" t="str">
        <f>IFERROR(__xludf.DUMMYFUNCTION("""COMPUTED_VALUE"""),"PEREMPUAN")</f>
        <v>PEREMPUAN</v>
      </c>
      <c r="K92" s="9" t="str">
        <f>IFERROR(__xludf.DUMMYFUNCTION("""COMPUTED_VALUE"""),"Jl. Kancil")</f>
        <v>Jl. Kancil</v>
      </c>
      <c r="L92" s="9"/>
      <c r="M92" s="9"/>
      <c r="N92" s="8" t="s">
        <v>19</v>
      </c>
      <c r="O92" s="9"/>
      <c r="P92" s="9"/>
      <c r="Q92" s="9"/>
      <c r="R92" s="10" t="str">
        <f>IFERROR(__xludf.DUMMYFUNCTION("""COMPUTED_VALUE"""),"K")</f>
        <v>K</v>
      </c>
      <c r="S92" s="8" t="s">
        <v>20</v>
      </c>
    </row>
    <row r="93" ht="22.5" customHeight="1">
      <c r="A93" s="6">
        <v>92.0</v>
      </c>
      <c r="B93" s="9" t="str">
        <f>IFERROR(__xludf.DUMMYFUNCTION("""COMPUTED_VALUE"""),"Menjahit Pakaian Wanita Dewasa")</f>
        <v>Menjahit Pakaian Wanita Dewasa</v>
      </c>
      <c r="C93" s="9" t="str">
        <f>IFERROR(__xludf.DUMMYFUNCTION("""COMPUTED_VALUE"""),"SMK Negeri 3 Muna")</f>
        <v>SMK Negeri 3 Muna</v>
      </c>
      <c r="D93" s="9"/>
      <c r="E93" s="9"/>
      <c r="F93" s="9" t="str">
        <f>IFERROR(__xludf.DUMMYFUNCTION("""COMPUTED_VALUE"""),"WA DO ADEODATA")</f>
        <v>WA DO ADEODATA</v>
      </c>
      <c r="G93" s="9" t="str">
        <f>IFERROR(__xludf.DUMMYFUNCTION("""COMPUTED_VALUE"""),"7403224905080001")</f>
        <v>7403224905080001</v>
      </c>
      <c r="H93" s="9"/>
      <c r="I93" s="9"/>
      <c r="J93" s="10" t="str">
        <f>IFERROR(__xludf.DUMMYFUNCTION("""COMPUTED_VALUE"""),"PEREMPUAN")</f>
        <v>PEREMPUAN</v>
      </c>
      <c r="K93" s="9" t="str">
        <f>IFERROR(__xludf.DUMMYFUNCTION("""COMPUTED_VALUE"""),"Jl. Jendral Sudirman No. 8")</f>
        <v>Jl. Jendral Sudirman No. 8</v>
      </c>
      <c r="L93" s="9"/>
      <c r="M93" s="9"/>
      <c r="N93" s="8" t="s">
        <v>19</v>
      </c>
      <c r="O93" s="9"/>
      <c r="P93" s="9"/>
      <c r="Q93" s="9"/>
      <c r="R93" s="10" t="str">
        <f>IFERROR(__xludf.DUMMYFUNCTION("""COMPUTED_VALUE"""),"K")</f>
        <v>K</v>
      </c>
      <c r="S93" s="8" t="s">
        <v>20</v>
      </c>
    </row>
    <row r="94" ht="22.5" customHeight="1">
      <c r="A94" s="6">
        <v>93.0</v>
      </c>
      <c r="B94" s="9" t="str">
        <f>IFERROR(__xludf.DUMMYFUNCTION("""COMPUTED_VALUE"""),"Menjahit Pakaian Wanita Dewasa")</f>
        <v>Menjahit Pakaian Wanita Dewasa</v>
      </c>
      <c r="C94" s="9" t="str">
        <f>IFERROR(__xludf.DUMMYFUNCTION("""COMPUTED_VALUE"""),"SMK Negeri 3 Muna")</f>
        <v>SMK Negeri 3 Muna</v>
      </c>
      <c r="D94" s="9"/>
      <c r="E94" s="9"/>
      <c r="F94" s="9" t="str">
        <f>IFERROR(__xludf.DUMMYFUNCTION("""COMPUTED_VALUE"""),"WULANDARI")</f>
        <v>WULANDARI</v>
      </c>
      <c r="G94" s="9" t="str">
        <f>IFERROR(__xludf.DUMMYFUNCTION("""COMPUTED_VALUE"""),"7403185009080002")</f>
        <v>7403185009080002</v>
      </c>
      <c r="H94" s="9"/>
      <c r="I94" s="9"/>
      <c r="J94" s="10" t="str">
        <f>IFERROR(__xludf.DUMMYFUNCTION("""COMPUTED_VALUE"""),"PEREMPUAN")</f>
        <v>PEREMPUAN</v>
      </c>
      <c r="K94" s="9" t="str">
        <f>IFERROR(__xludf.DUMMYFUNCTION("""COMPUTED_VALUE"""),"Desa Korihi")</f>
        <v>Desa Korihi</v>
      </c>
      <c r="L94" s="9"/>
      <c r="M94" s="9"/>
      <c r="N94" s="8" t="s">
        <v>19</v>
      </c>
      <c r="O94" s="9"/>
      <c r="P94" s="9"/>
      <c r="Q94" s="9"/>
      <c r="R94" s="10" t="str">
        <f>IFERROR(__xludf.DUMMYFUNCTION("""COMPUTED_VALUE"""),"K")</f>
        <v>K</v>
      </c>
      <c r="S94" s="8" t="s">
        <v>20</v>
      </c>
    </row>
    <row r="95" ht="22.5" customHeight="1">
      <c r="A95" s="6">
        <v>94.0</v>
      </c>
      <c r="B95" s="9" t="str">
        <f>IFERROR(__xludf.DUMMYFUNCTION("""COMPUTED_VALUE"""),"Menjahit Pakaian Wanita Dewasa")</f>
        <v>Menjahit Pakaian Wanita Dewasa</v>
      </c>
      <c r="C95" s="9" t="str">
        <f>IFERROR(__xludf.DUMMYFUNCTION("""COMPUTED_VALUE"""),"SMK Negeri 3 Muna")</f>
        <v>SMK Negeri 3 Muna</v>
      </c>
      <c r="D95" s="9"/>
      <c r="E95" s="9"/>
      <c r="F95" s="9" t="str">
        <f>IFERROR(__xludf.DUMMYFUNCTION("""COMPUTED_VALUE"""),"YOSEFAMO RENANDRO MEDA")</f>
        <v>YOSEFAMO RENANDRO MEDA</v>
      </c>
      <c r="G95" s="9" t="str">
        <f>IFERROR(__xludf.DUMMYFUNCTION("""COMPUTED_VALUE"""),"7404075903080001")</f>
        <v>7404075903080001</v>
      </c>
      <c r="H95" s="9"/>
      <c r="I95" s="9"/>
      <c r="J95" s="10" t="str">
        <f>IFERROR(__xludf.DUMMYFUNCTION("""COMPUTED_VALUE"""),"PEREMPUAN")</f>
        <v>PEREMPUAN</v>
      </c>
      <c r="K95" s="9" t="str">
        <f>IFERROR(__xludf.DUMMYFUNCTION("""COMPUTED_VALUE"""),"Jalan Jenderal Sudirman")</f>
        <v>Jalan Jenderal Sudirman</v>
      </c>
      <c r="L95" s="9"/>
      <c r="M95" s="9"/>
      <c r="N95" s="8" t="s">
        <v>19</v>
      </c>
      <c r="O95" s="9"/>
      <c r="P95" s="9"/>
      <c r="Q95" s="9"/>
      <c r="R95" s="10" t="str">
        <f>IFERROR(__xludf.DUMMYFUNCTION("""COMPUTED_VALUE"""),"K")</f>
        <v>K</v>
      </c>
      <c r="S95" s="8" t="s">
        <v>20</v>
      </c>
    </row>
    <row r="96" ht="22.5" customHeight="1">
      <c r="A96" s="6">
        <v>95.0</v>
      </c>
      <c r="B96" s="9" t="str">
        <f>IFERROR(__xludf.DUMMYFUNCTION("""COMPUTED_VALUE"""),"Menjahit Pakaian Wanita Dewasa")</f>
        <v>Menjahit Pakaian Wanita Dewasa</v>
      </c>
      <c r="C96" s="9" t="str">
        <f>IFERROR(__xludf.DUMMYFUNCTION("""COMPUTED_VALUE"""),"SMK Negeri 3 Muna")</f>
        <v>SMK Negeri 3 Muna</v>
      </c>
      <c r="D96" s="9"/>
      <c r="E96" s="9"/>
      <c r="F96" s="9" t="str">
        <f>IFERROR(__xludf.DUMMYFUNCTION("""COMPUTED_VALUE"""),"ZAHRA OCTAVIA BURANSA")</f>
        <v>ZAHRA OCTAVIA BURANSA</v>
      </c>
      <c r="G96" s="9" t="str">
        <f>IFERROR(__xludf.DUMMYFUNCTION("""COMPUTED_VALUE"""),"7403155610080001")</f>
        <v>7403155610080001</v>
      </c>
      <c r="H96" s="9"/>
      <c r="I96" s="9"/>
      <c r="J96" s="10" t="str">
        <f>IFERROR(__xludf.DUMMYFUNCTION("""COMPUTED_VALUE"""),"PEREMPUAN")</f>
        <v>PEREMPUAN</v>
      </c>
      <c r="K96" s="9" t="str">
        <f>IFERROR(__xludf.DUMMYFUNCTION("""COMPUTED_VALUE"""),"Desa Lasalepa")</f>
        <v>Desa Lasalepa</v>
      </c>
      <c r="L96" s="9"/>
      <c r="M96" s="9"/>
      <c r="N96" s="8" t="s">
        <v>19</v>
      </c>
      <c r="O96" s="9"/>
      <c r="P96" s="9"/>
      <c r="Q96" s="9"/>
      <c r="R96" s="10" t="str">
        <f>IFERROR(__xludf.DUMMYFUNCTION("""COMPUTED_VALUE"""),"K")</f>
        <v>K</v>
      </c>
      <c r="S96" s="8" t="s">
        <v>20</v>
      </c>
    </row>
    <row r="97" ht="22.5" customHeight="1">
      <c r="A97" s="6">
        <v>96.0</v>
      </c>
      <c r="B97" s="9" t="str">
        <f>IFERROR(__xludf.DUMMYFUNCTION("""COMPUTED_VALUE"""),"Menjahit Pakaian Wanita Dewasa")</f>
        <v>Menjahit Pakaian Wanita Dewasa</v>
      </c>
      <c r="C97" s="9" t="str">
        <f>IFERROR(__xludf.DUMMYFUNCTION("""COMPUTED_VALUE"""),"SMK Negeri 3 Muna")</f>
        <v>SMK Negeri 3 Muna</v>
      </c>
      <c r="D97" s="9"/>
      <c r="E97" s="9"/>
      <c r="F97" s="9" t="str">
        <f>IFERROR(__xludf.DUMMYFUNCTION("""COMPUTED_VALUE"""),"ZAHRA WARDANI")</f>
        <v>ZAHRA WARDANI</v>
      </c>
      <c r="G97" s="9" t="str">
        <f>IFERROR(__xludf.DUMMYFUNCTION("""COMPUTED_VALUE"""),"7403106212070201")</f>
        <v>7403106212070201</v>
      </c>
      <c r="H97" s="9"/>
      <c r="I97" s="9"/>
      <c r="J97" s="10" t="str">
        <f>IFERROR(__xludf.DUMMYFUNCTION("""COMPUTED_VALUE"""),"PEREMPUAN")</f>
        <v>PEREMPUAN</v>
      </c>
      <c r="K97" s="9" t="str">
        <f>IFERROR(__xludf.DUMMYFUNCTION("""COMPUTED_VALUE"""),"Jln. Wirabuana, Desa Wawesa")</f>
        <v>Jln. Wirabuana, Desa Wawesa</v>
      </c>
      <c r="L97" s="9"/>
      <c r="M97" s="9"/>
      <c r="N97" s="8" t="s">
        <v>19</v>
      </c>
      <c r="O97" s="9"/>
      <c r="P97" s="9"/>
      <c r="Q97" s="9"/>
      <c r="R97" s="10" t="str">
        <f>IFERROR(__xludf.DUMMYFUNCTION("""COMPUTED_VALUE"""),"K")</f>
        <v>K</v>
      </c>
      <c r="S97" s="8" t="s">
        <v>20</v>
      </c>
    </row>
    <row r="98" ht="22.5" customHeight="1">
      <c r="A98" s="6">
        <v>97.0</v>
      </c>
      <c r="B98" s="9" t="str">
        <f>IFERROR(__xludf.DUMMYFUNCTION("""COMPUTED_VALUE"""),"Menjahit Pakaian Wanita Dewasa")</f>
        <v>Menjahit Pakaian Wanita Dewasa</v>
      </c>
      <c r="C98" s="9" t="str">
        <f>IFERROR(__xludf.DUMMYFUNCTION("""COMPUTED_VALUE"""),"SMK Negeri 3 Muna")</f>
        <v>SMK Negeri 3 Muna</v>
      </c>
      <c r="D98" s="9"/>
      <c r="E98" s="9"/>
      <c r="F98" s="9" t="str">
        <f>IFERROR(__xludf.DUMMYFUNCTION("""COMPUTED_VALUE"""),"SITTI  SUKARWIN")</f>
        <v>SITTI  SUKARWIN</v>
      </c>
      <c r="G98" s="9" t="str">
        <f>IFERROR(__xludf.DUMMYFUNCTION("""COMPUTED_VALUE"""),"7403156706770001")</f>
        <v>7403156706770001</v>
      </c>
      <c r="H98" s="9"/>
      <c r="I98" s="9"/>
      <c r="J98" s="10" t="str">
        <f>IFERROR(__xludf.DUMMYFUNCTION("""COMPUTED_VALUE"""),"PEREMPUAN")</f>
        <v>PEREMPUAN</v>
      </c>
      <c r="K98" s="9" t="str">
        <f>IFERROR(__xludf.DUMMYFUNCTION("""COMPUTED_VALUE"""),"Jl. Kartika, Kelurahan Sidodar, Kec. Batalaiworu, Kab. Muna")</f>
        <v>Jl. Kartika, Kelurahan Sidodar, Kec. Batalaiworu, Kab. Muna</v>
      </c>
      <c r="L98" s="9"/>
      <c r="M98" s="9"/>
      <c r="N98" s="8" t="s">
        <v>19</v>
      </c>
      <c r="O98" s="9"/>
      <c r="P98" s="9"/>
      <c r="Q98" s="9"/>
      <c r="R98" s="10" t="str">
        <f>IFERROR(__xludf.DUMMYFUNCTION("""COMPUTED_VALUE"""),"K")</f>
        <v>K</v>
      </c>
      <c r="S98" s="8" t="s">
        <v>20</v>
      </c>
    </row>
    <row r="99" ht="22.5" customHeight="1">
      <c r="A99" s="6">
        <v>98.0</v>
      </c>
      <c r="B99" s="9" t="str">
        <f>IFERROR(__xludf.DUMMYFUNCTION("""COMPUTED_VALUE"""),"Menjahit Pakaian Wanita Dewasa")</f>
        <v>Menjahit Pakaian Wanita Dewasa</v>
      </c>
      <c r="C99" s="9" t="str">
        <f>IFERROR(__xludf.DUMMYFUNCTION("""COMPUTED_VALUE"""),"SMK Negeri 3 Muna")</f>
        <v>SMK Negeri 3 Muna</v>
      </c>
      <c r="D99" s="9"/>
      <c r="E99" s="9"/>
      <c r="F99" s="9" t="str">
        <f>IFERROR(__xludf.DUMMYFUNCTION("""COMPUTED_VALUE"""),"LISRATINI")</f>
        <v>LISRATINI</v>
      </c>
      <c r="G99" s="9" t="str">
        <f>IFERROR(__xludf.DUMMYFUNCTION("""COMPUTED_VALUE"""),"7403166104830001")</f>
        <v>7403166104830001</v>
      </c>
      <c r="H99" s="9"/>
      <c r="I99" s="9"/>
      <c r="J99" s="10" t="str">
        <f>IFERROR(__xludf.DUMMYFUNCTION("""COMPUTED_VALUE"""),"PEREMPUAN")</f>
        <v>PEREMPUAN</v>
      </c>
      <c r="K99" s="9" t="str">
        <f>IFERROR(__xludf.DUMMYFUNCTION("""COMPUTED_VALUE"""),"Jl. Sawerigading")</f>
        <v>Jl. Sawerigading</v>
      </c>
      <c r="L99" s="9"/>
      <c r="M99" s="9"/>
      <c r="N99" s="8" t="s">
        <v>19</v>
      </c>
      <c r="O99" s="9"/>
      <c r="P99" s="9"/>
      <c r="Q99" s="9"/>
      <c r="R99" s="10" t="str">
        <f>IFERROR(__xludf.DUMMYFUNCTION("""COMPUTED_VALUE"""),"K")</f>
        <v>K</v>
      </c>
      <c r="S99" s="8" t="s">
        <v>20</v>
      </c>
    </row>
    <row r="100" ht="22.5" customHeight="1">
      <c r="A100" s="6">
        <v>99.0</v>
      </c>
      <c r="B100" s="9" t="str">
        <f>IFERROR(__xludf.DUMMYFUNCTION("""COMPUTED_VALUE"""),"Menjahit Pakaian Wanita Dewasa")</f>
        <v>Menjahit Pakaian Wanita Dewasa</v>
      </c>
      <c r="C100" s="9" t="str">
        <f>IFERROR(__xludf.DUMMYFUNCTION("""COMPUTED_VALUE"""),"SMK Negeri 3 Muna")</f>
        <v>SMK Negeri 3 Muna</v>
      </c>
      <c r="D100" s="9"/>
      <c r="E100" s="9"/>
      <c r="F100" s="9" t="str">
        <f>IFERROR(__xludf.DUMMYFUNCTION("""COMPUTED_VALUE"""),"FAUZIA BAGI")</f>
        <v>FAUZIA BAGI</v>
      </c>
      <c r="G100" s="9" t="str">
        <f>IFERROR(__xludf.DUMMYFUNCTION("""COMPUTED_VALUE"""),"7403194305740201")</f>
        <v>7403194305740201</v>
      </c>
      <c r="H100" s="9"/>
      <c r="I100" s="9"/>
      <c r="J100" s="10" t="str">
        <f>IFERROR(__xludf.DUMMYFUNCTION("""COMPUTED_VALUE"""),"PEREMPUAN")</f>
        <v>PEREMPUAN</v>
      </c>
      <c r="K100" s="9" t="str">
        <f>IFERROR(__xludf.DUMMYFUNCTION("""COMPUTED_VALUE"""),"Jln. Lumba-Lumba")</f>
        <v>Jln. Lumba-Lumba</v>
      </c>
      <c r="L100" s="9"/>
      <c r="M100" s="9"/>
      <c r="N100" s="8" t="s">
        <v>19</v>
      </c>
      <c r="O100" s="9"/>
      <c r="P100" s="9"/>
      <c r="Q100" s="9"/>
      <c r="R100" s="10" t="str">
        <f>IFERROR(__xludf.DUMMYFUNCTION("""COMPUTED_VALUE"""),"K")</f>
        <v>K</v>
      </c>
      <c r="S100" s="8" t="s">
        <v>20</v>
      </c>
    </row>
    <row r="101" ht="22.5" customHeight="1">
      <c r="A101" s="6">
        <v>100.0</v>
      </c>
      <c r="B101" s="9" t="str">
        <f>IFERROR(__xludf.DUMMYFUNCTION("""COMPUTED_VALUE"""),"Menjahit Pakaian Wanita Dewasa")</f>
        <v>Menjahit Pakaian Wanita Dewasa</v>
      </c>
      <c r="C101" s="9" t="str">
        <f>IFERROR(__xludf.DUMMYFUNCTION("""COMPUTED_VALUE"""),"SMK Negeri 3 Muna")</f>
        <v>SMK Negeri 3 Muna</v>
      </c>
      <c r="D101" s="9"/>
      <c r="E101" s="9"/>
      <c r="F101" s="9" t="str">
        <f>IFERROR(__xludf.DUMMYFUNCTION("""COMPUTED_VALUE"""),"WA ODE KARMILA")</f>
        <v>WA ODE KARMILA</v>
      </c>
      <c r="G101" s="9" t="str">
        <f>IFERROR(__xludf.DUMMYFUNCTION("""COMPUTED_VALUE"""),"7403185005930001")</f>
        <v>7403185005930001</v>
      </c>
      <c r="H101" s="9"/>
      <c r="I101" s="9"/>
      <c r="J101" s="10" t="str">
        <f>IFERROR(__xludf.DUMMYFUNCTION("""COMPUTED_VALUE"""),"PEREMPUAN")</f>
        <v>PEREMPUAN</v>
      </c>
      <c r="K101" s="9" t="str">
        <f>IFERROR(__xludf.DUMMYFUNCTION("""COMPUTED_VALUE"""),"Desa Mabolu, Kec. Lohia")</f>
        <v>Desa Mabolu, Kec. Lohia</v>
      </c>
      <c r="L101" s="9"/>
      <c r="M101" s="9"/>
      <c r="N101" s="8" t="s">
        <v>19</v>
      </c>
      <c r="O101" s="9"/>
      <c r="P101" s="9"/>
      <c r="Q101" s="9"/>
      <c r="R101" s="10" t="str">
        <f>IFERROR(__xludf.DUMMYFUNCTION("""COMPUTED_VALUE"""),"K")</f>
        <v>K</v>
      </c>
      <c r="S101" s="8" t="s">
        <v>20</v>
      </c>
    </row>
    <row r="102" ht="22.5" customHeight="1">
      <c r="A102" s="6">
        <v>101.0</v>
      </c>
      <c r="B102" s="9" t="str">
        <f>IFERROR(__xludf.DUMMYFUNCTION("""COMPUTED_VALUE"""),"Menjahit Pakaian Wanita Dewasa")</f>
        <v>Menjahit Pakaian Wanita Dewasa</v>
      </c>
      <c r="C102" s="9" t="str">
        <f>IFERROR(__xludf.DUMMYFUNCTION("""COMPUTED_VALUE"""),"SMK Negeri 3 Muna")</f>
        <v>SMK Negeri 3 Muna</v>
      </c>
      <c r="D102" s="9"/>
      <c r="E102" s="9"/>
      <c r="F102" s="9" t="str">
        <f>IFERROR(__xludf.DUMMYFUNCTION("""COMPUTED_VALUE"""),"WA ODE DIAN PUSPITA MADUN")</f>
        <v>WA ODE DIAN PUSPITA MADUN</v>
      </c>
      <c r="G102" s="9" t="str">
        <f>IFERROR(__xludf.DUMMYFUNCTION("""COMPUTED_VALUE"""),"7403156704000001")</f>
        <v>7403156704000001</v>
      </c>
      <c r="H102" s="9"/>
      <c r="I102" s="9"/>
      <c r="J102" s="10" t="str">
        <f>IFERROR(__xludf.DUMMYFUNCTION("""COMPUTED_VALUE"""),"PEREMPUAN")</f>
        <v>PEREMPUAN</v>
      </c>
      <c r="K102" s="9" t="str">
        <f>IFERROR(__xludf.DUMMYFUNCTION("""COMPUTED_VALUE"""),"Jl. Wirabuana")</f>
        <v>Jl. Wirabuana</v>
      </c>
      <c r="L102" s="9"/>
      <c r="M102" s="9"/>
      <c r="N102" s="8" t="s">
        <v>19</v>
      </c>
      <c r="O102" s="9"/>
      <c r="P102" s="9"/>
      <c r="Q102" s="9"/>
      <c r="R102" s="10" t="str">
        <f>IFERROR(__xludf.DUMMYFUNCTION("""COMPUTED_VALUE"""),"K")</f>
        <v>K</v>
      </c>
      <c r="S102" s="8" t="s">
        <v>20</v>
      </c>
    </row>
    <row r="103" ht="22.5" customHeight="1">
      <c r="A103" s="6">
        <v>102.0</v>
      </c>
      <c r="B103" s="9" t="str">
        <f>IFERROR(__xludf.DUMMYFUNCTION("""COMPUTED_VALUE"""),"Pembuatan Roti dan Kue")</f>
        <v>Pembuatan Roti dan Kue</v>
      </c>
      <c r="C103" s="9" t="str">
        <f>IFERROR(__xludf.DUMMYFUNCTION("""COMPUTED_VALUE"""),"SMK Negeri 3 Muna")</f>
        <v>SMK Negeri 3 Muna</v>
      </c>
      <c r="D103" s="9"/>
      <c r="E103" s="9"/>
      <c r="F103" s="9" t="str">
        <f>IFERROR(__xludf.DUMMYFUNCTION("""COMPUTED_VALUE"""),"HASLINDA")</f>
        <v>HASLINDA</v>
      </c>
      <c r="G103" s="9" t="str">
        <f>IFERROR(__xludf.DUMMYFUNCTION("""COMPUTED_VALUE"""),"7403256307040001")</f>
        <v>7403256307040001</v>
      </c>
      <c r="H103" s="9"/>
      <c r="I103" s="9"/>
      <c r="J103" s="10" t="str">
        <f>IFERROR(__xludf.DUMMYFUNCTION("""COMPUTED_VALUE"""),"PEREMPUAN")</f>
        <v>PEREMPUAN</v>
      </c>
      <c r="K103" s="9" t="str">
        <f>IFERROR(__xludf.DUMMYFUNCTION("""COMPUTED_VALUE"""),"SMKN 3 Muna")</f>
        <v>SMKN 3 Muna</v>
      </c>
      <c r="L103" s="9"/>
      <c r="M103" s="9"/>
      <c r="N103" s="8" t="s">
        <v>19</v>
      </c>
      <c r="O103" s="9"/>
      <c r="P103" s="9"/>
      <c r="Q103" s="9"/>
      <c r="R103" s="10" t="str">
        <f>IFERROR(__xludf.DUMMYFUNCTION("""COMPUTED_VALUE"""),"K")</f>
        <v>K</v>
      </c>
      <c r="S103" s="8" t="s">
        <v>20</v>
      </c>
    </row>
    <row r="104" ht="22.5" customHeight="1">
      <c r="A104" s="6">
        <v>103.0</v>
      </c>
      <c r="B104" s="9" t="str">
        <f>IFERROR(__xludf.DUMMYFUNCTION("""COMPUTED_VALUE"""),"Pembuatan Roti dan Kue")</f>
        <v>Pembuatan Roti dan Kue</v>
      </c>
      <c r="C104" s="9" t="str">
        <f>IFERROR(__xludf.DUMMYFUNCTION("""COMPUTED_VALUE"""),"SMK Negeri 3 Muna")</f>
        <v>SMK Negeri 3 Muna</v>
      </c>
      <c r="D104" s="9"/>
      <c r="E104" s="9"/>
      <c r="F104" s="9" t="str">
        <f>IFERROR(__xludf.DUMMYFUNCTION("""COMPUTED_VALUE"""),"SAFIRA")</f>
        <v>SAFIRA</v>
      </c>
      <c r="G104" s="9" t="str">
        <f>IFERROR(__xludf.DUMMYFUNCTION("""COMPUTED_VALUE"""),"7403164804040003")</f>
        <v>7403164804040003</v>
      </c>
      <c r="H104" s="9"/>
      <c r="I104" s="9"/>
      <c r="J104" s="10" t="str">
        <f>IFERROR(__xludf.DUMMYFUNCTION("""COMPUTED_VALUE"""),"PEREMPUAN")</f>
        <v>PEREMPUAN</v>
      </c>
      <c r="K104" s="9" t="str">
        <f>IFERROR(__xludf.DUMMYFUNCTION("""COMPUTED_VALUE"""),"SMKN 3 Muna")</f>
        <v>SMKN 3 Muna</v>
      </c>
      <c r="L104" s="9"/>
      <c r="M104" s="9"/>
      <c r="N104" s="8" t="s">
        <v>19</v>
      </c>
      <c r="O104" s="9"/>
      <c r="P104" s="9"/>
      <c r="Q104" s="9"/>
      <c r="R104" s="10" t="str">
        <f>IFERROR(__xludf.DUMMYFUNCTION("""COMPUTED_VALUE"""),"K")</f>
        <v>K</v>
      </c>
      <c r="S104" s="8" t="s">
        <v>20</v>
      </c>
    </row>
    <row r="105" ht="22.5" customHeight="1">
      <c r="A105" s="6">
        <v>104.0</v>
      </c>
      <c r="B105" s="9" t="str">
        <f>IFERROR(__xludf.DUMMYFUNCTION("""COMPUTED_VALUE"""),"Pembuatan Roti dan Kue")</f>
        <v>Pembuatan Roti dan Kue</v>
      </c>
      <c r="C105" s="9" t="str">
        <f>IFERROR(__xludf.DUMMYFUNCTION("""COMPUTED_VALUE"""),"SMK Negeri 3 Muna")</f>
        <v>SMK Negeri 3 Muna</v>
      </c>
      <c r="D105" s="9"/>
      <c r="E105" s="9"/>
      <c r="F105" s="9" t="str">
        <f>IFERROR(__xludf.DUMMYFUNCTION("""COMPUTED_VALUE"""),"SOVIA SUVANTY")</f>
        <v>SOVIA SUVANTY</v>
      </c>
      <c r="G105" s="9" t="str">
        <f>IFERROR(__xludf.DUMMYFUNCTION("""COMPUTED_VALUE"""),"7403315809080001")</f>
        <v>7403315809080001</v>
      </c>
      <c r="H105" s="9"/>
      <c r="I105" s="9"/>
      <c r="J105" s="10" t="str">
        <f>IFERROR(__xludf.DUMMYFUNCTION("""COMPUTED_VALUE"""),"PEREMPUAN")</f>
        <v>PEREMPUAN</v>
      </c>
      <c r="K105" s="9" t="str">
        <f>IFERROR(__xludf.DUMMYFUNCTION("""COMPUTED_VALUE"""),"SMKN 3 Muna")</f>
        <v>SMKN 3 Muna</v>
      </c>
      <c r="L105" s="9"/>
      <c r="M105" s="9"/>
      <c r="N105" s="8" t="s">
        <v>19</v>
      </c>
      <c r="O105" s="9"/>
      <c r="P105" s="9"/>
      <c r="Q105" s="9"/>
      <c r="R105" s="10" t="str">
        <f>IFERROR(__xludf.DUMMYFUNCTION("""COMPUTED_VALUE"""),"K")</f>
        <v>K</v>
      </c>
      <c r="S105" s="8" t="s">
        <v>20</v>
      </c>
    </row>
    <row r="106" ht="22.5" customHeight="1">
      <c r="A106" s="6">
        <v>105.0</v>
      </c>
      <c r="B106" s="9" t="str">
        <f>IFERROR(__xludf.DUMMYFUNCTION("""COMPUTED_VALUE"""),"Pembuatan Roti dan Kue")</f>
        <v>Pembuatan Roti dan Kue</v>
      </c>
      <c r="C106" s="9" t="str">
        <f>IFERROR(__xludf.DUMMYFUNCTION("""COMPUTED_VALUE"""),"SMK Negeri 3 Muna")</f>
        <v>SMK Negeri 3 Muna</v>
      </c>
      <c r="D106" s="9"/>
      <c r="E106" s="9"/>
      <c r="F106" s="9" t="str">
        <f>IFERROR(__xludf.DUMMYFUNCTION("""COMPUTED_VALUE"""),"WA NUNI KATARINA")</f>
        <v>WA NUNI KATARINA</v>
      </c>
      <c r="G106" s="9" t="str">
        <f>IFERROR(__xludf.DUMMYFUNCTION("""COMPUTED_VALUE"""),"7404055003060002")</f>
        <v>7404055003060002</v>
      </c>
      <c r="H106" s="9"/>
      <c r="I106" s="9"/>
      <c r="J106" s="10" t="str">
        <f>IFERROR(__xludf.DUMMYFUNCTION("""COMPUTED_VALUE"""),"PEREMPUAN")</f>
        <v>PEREMPUAN</v>
      </c>
      <c r="K106" s="9" t="str">
        <f>IFERROR(__xludf.DUMMYFUNCTION("""COMPUTED_VALUE"""),"SMKN 3 Muna")</f>
        <v>SMKN 3 Muna</v>
      </c>
      <c r="L106" s="9"/>
      <c r="M106" s="9"/>
      <c r="N106" s="8" t="s">
        <v>19</v>
      </c>
      <c r="O106" s="9"/>
      <c r="P106" s="9"/>
      <c r="Q106" s="9"/>
      <c r="R106" s="10" t="str">
        <f>IFERROR(__xludf.DUMMYFUNCTION("""COMPUTED_VALUE"""),"K")</f>
        <v>K</v>
      </c>
      <c r="S106" s="8" t="s">
        <v>20</v>
      </c>
    </row>
    <row r="107" ht="22.5" customHeight="1">
      <c r="A107" s="6">
        <v>106.0</v>
      </c>
      <c r="B107" s="9" t="str">
        <f>IFERROR(__xludf.DUMMYFUNCTION("""COMPUTED_VALUE"""),"Pembuatan Roti dan Kue")</f>
        <v>Pembuatan Roti dan Kue</v>
      </c>
      <c r="C107" s="9" t="str">
        <f>IFERROR(__xludf.DUMMYFUNCTION("""COMPUTED_VALUE"""),"SMK Negeri 3 Muna")</f>
        <v>SMK Negeri 3 Muna</v>
      </c>
      <c r="D107" s="9"/>
      <c r="E107" s="9"/>
      <c r="F107" s="9" t="str">
        <f>IFERROR(__xludf.DUMMYFUNCTION("""COMPUTED_VALUE"""),"WA ODE WULANDARI")</f>
        <v>WA ODE WULANDARI</v>
      </c>
      <c r="G107" s="9" t="str">
        <f>IFERROR(__xludf.DUMMYFUNCTION("""COMPUTED_VALUE"""),"7403064401080001")</f>
        <v>7403064401080001</v>
      </c>
      <c r="H107" s="9"/>
      <c r="I107" s="9"/>
      <c r="J107" s="10" t="str">
        <f>IFERROR(__xludf.DUMMYFUNCTION("""COMPUTED_VALUE"""),"PEREMPUAN")</f>
        <v>PEREMPUAN</v>
      </c>
      <c r="K107" s="9" t="str">
        <f>IFERROR(__xludf.DUMMYFUNCTION("""COMPUTED_VALUE"""),"Desa Lambiku")</f>
        <v>Desa Lambiku</v>
      </c>
      <c r="L107" s="9"/>
      <c r="M107" s="9"/>
      <c r="N107" s="8" t="s">
        <v>19</v>
      </c>
      <c r="O107" s="9"/>
      <c r="P107" s="9"/>
      <c r="Q107" s="9"/>
      <c r="R107" s="10" t="str">
        <f>IFERROR(__xludf.DUMMYFUNCTION("""COMPUTED_VALUE"""),"K")</f>
        <v>K</v>
      </c>
      <c r="S107" s="8" t="s">
        <v>20</v>
      </c>
    </row>
    <row r="108" ht="22.5" customHeight="1">
      <c r="A108" s="6">
        <v>107.0</v>
      </c>
      <c r="B108" s="9" t="str">
        <f>IFERROR(__xludf.DUMMYFUNCTION("""COMPUTED_VALUE"""),"Pembuatan Roti dan Kue")</f>
        <v>Pembuatan Roti dan Kue</v>
      </c>
      <c r="C108" s="9" t="str">
        <f>IFERROR(__xludf.DUMMYFUNCTION("""COMPUTED_VALUE"""),"SMK Negeri 3 Muna")</f>
        <v>SMK Negeri 3 Muna</v>
      </c>
      <c r="D108" s="9"/>
      <c r="E108" s="9"/>
      <c r="F108" s="9" t="str">
        <f>IFERROR(__xludf.DUMMYFUNCTION("""COMPUTED_VALUE"""),"YULIYA NAZA")</f>
        <v>YULIYA NAZA</v>
      </c>
      <c r="G108" s="9" t="str">
        <f>IFERROR(__xludf.DUMMYFUNCTION("""COMPUTED_VALUE"""),"7403156010080001")</f>
        <v>7403156010080001</v>
      </c>
      <c r="H108" s="9"/>
      <c r="I108" s="9"/>
      <c r="J108" s="10" t="str">
        <f>IFERROR(__xludf.DUMMYFUNCTION("""COMPUTED_VALUE"""),"PEREMPUAN")</f>
        <v>PEREMPUAN</v>
      </c>
      <c r="K108" s="9" t="str">
        <f>IFERROR(__xludf.DUMMYFUNCTION("""COMPUTED_VALUE"""),"jln Lumba-lumba, Raha")</f>
        <v>jln Lumba-lumba, Raha</v>
      </c>
      <c r="L108" s="9"/>
      <c r="M108" s="9"/>
      <c r="N108" s="8" t="s">
        <v>19</v>
      </c>
      <c r="O108" s="9"/>
      <c r="P108" s="9"/>
      <c r="Q108" s="9"/>
      <c r="R108" s="10" t="str">
        <f>IFERROR(__xludf.DUMMYFUNCTION("""COMPUTED_VALUE"""),"K")</f>
        <v>K</v>
      </c>
      <c r="S108" s="8" t="s">
        <v>20</v>
      </c>
    </row>
    <row r="109" ht="22.5" customHeight="1">
      <c r="A109" s="6">
        <v>108.0</v>
      </c>
      <c r="B109" s="9" t="str">
        <f>IFERROR(__xludf.DUMMYFUNCTION("""COMPUTED_VALUE"""),"Pembuatan Roti dan Kue")</f>
        <v>Pembuatan Roti dan Kue</v>
      </c>
      <c r="C109" s="9" t="str">
        <f>IFERROR(__xludf.DUMMYFUNCTION("""COMPUTED_VALUE"""),"SMK Negeri 3 Muna")</f>
        <v>SMK Negeri 3 Muna</v>
      </c>
      <c r="D109" s="9"/>
      <c r="E109" s="9"/>
      <c r="F109" s="9" t="str">
        <f>IFERROR(__xludf.DUMMYFUNCTION("""COMPUTED_VALUE"""),"ABIGAEL PAMEAN")</f>
        <v>ABIGAEL PAMEAN</v>
      </c>
      <c r="G109" s="9" t="str">
        <f>IFERROR(__xludf.DUMMYFUNCTION("""COMPUTED_VALUE"""),"7403116107730202")</f>
        <v>7403116107730202</v>
      </c>
      <c r="H109" s="9"/>
      <c r="I109" s="9"/>
      <c r="J109" s="10" t="str">
        <f>IFERROR(__xludf.DUMMYFUNCTION("""COMPUTED_VALUE"""),"PEREMPUAN")</f>
        <v>PEREMPUAN</v>
      </c>
      <c r="K109" s="9" t="str">
        <f>IFERROR(__xludf.DUMMYFUNCTION("""COMPUTED_VALUE"""),"jl. Paelangkuta Raha III")</f>
        <v>jl. Paelangkuta Raha III</v>
      </c>
      <c r="L109" s="9"/>
      <c r="M109" s="9"/>
      <c r="N109" s="8" t="s">
        <v>19</v>
      </c>
      <c r="O109" s="9"/>
      <c r="P109" s="9"/>
      <c r="Q109" s="9"/>
      <c r="R109" s="10" t="str">
        <f>IFERROR(__xludf.DUMMYFUNCTION("""COMPUTED_VALUE"""),"K")</f>
        <v>K</v>
      </c>
      <c r="S109" s="8" t="s">
        <v>20</v>
      </c>
    </row>
    <row r="110" ht="22.5" customHeight="1">
      <c r="A110" s="6">
        <v>109.0</v>
      </c>
      <c r="B110" s="9" t="str">
        <f>IFERROR(__xludf.DUMMYFUNCTION("""COMPUTED_VALUE"""),"Pembuatan Roti dan Kue")</f>
        <v>Pembuatan Roti dan Kue</v>
      </c>
      <c r="C110" s="9" t="str">
        <f>IFERROR(__xludf.DUMMYFUNCTION("""COMPUTED_VALUE"""),"SMK Negeri 3 Muna")</f>
        <v>SMK Negeri 3 Muna</v>
      </c>
      <c r="D110" s="9"/>
      <c r="E110" s="9"/>
      <c r="F110" s="9" t="str">
        <f>IFERROR(__xludf.DUMMYFUNCTION("""COMPUTED_VALUE"""),"SARNIA FEKUNDO")</f>
        <v>SARNIA FEKUNDO</v>
      </c>
      <c r="G110" s="9" t="str">
        <f>IFERROR(__xludf.DUMMYFUNCTION("""COMPUTED_VALUE"""),"7403164911790001")</f>
        <v>7403164911790001</v>
      </c>
      <c r="H110" s="9"/>
      <c r="I110" s="9"/>
      <c r="J110" s="10" t="str">
        <f>IFERROR(__xludf.DUMMYFUNCTION("""COMPUTED_VALUE"""),"PEREMPUAN")</f>
        <v>PEREMPUAN</v>
      </c>
      <c r="K110" s="9" t="str">
        <f>IFERROR(__xludf.DUMMYFUNCTION("""COMPUTED_VALUE"""),"jl. Sutan Syahrir")</f>
        <v>jl. Sutan Syahrir</v>
      </c>
      <c r="L110" s="9"/>
      <c r="M110" s="9"/>
      <c r="N110" s="8" t="s">
        <v>19</v>
      </c>
      <c r="O110" s="9"/>
      <c r="P110" s="9"/>
      <c r="Q110" s="9"/>
      <c r="R110" s="10" t="str">
        <f>IFERROR(__xludf.DUMMYFUNCTION("""COMPUTED_VALUE"""),"K")</f>
        <v>K</v>
      </c>
      <c r="S110" s="8" t="s">
        <v>20</v>
      </c>
    </row>
    <row r="111" ht="22.5" customHeight="1">
      <c r="A111" s="6">
        <v>110.0</v>
      </c>
      <c r="B111" s="9" t="str">
        <f>IFERROR(__xludf.DUMMYFUNCTION("""COMPUTED_VALUE"""),"Pembuatan Roti dan Kue")</f>
        <v>Pembuatan Roti dan Kue</v>
      </c>
      <c r="C111" s="9" t="str">
        <f>IFERROR(__xludf.DUMMYFUNCTION("""COMPUTED_VALUE"""),"SMK Negeri 3 Muna")</f>
        <v>SMK Negeri 3 Muna</v>
      </c>
      <c r="D111" s="9"/>
      <c r="E111" s="9"/>
      <c r="F111" s="9" t="str">
        <f>IFERROR(__xludf.DUMMYFUNCTION("""COMPUTED_VALUE"""),"NURUL FITRIANI")</f>
        <v>NURUL FITRIANI</v>
      </c>
      <c r="G111" s="9" t="str">
        <f>IFERROR(__xludf.DUMMYFUNCTION("""COMPUTED_VALUE"""),"7403106212680201")</f>
        <v>7403106212680201</v>
      </c>
      <c r="H111" s="9"/>
      <c r="I111" s="9"/>
      <c r="J111" s="10" t="str">
        <f>IFERROR(__xludf.DUMMYFUNCTION("""COMPUTED_VALUE"""),"PEREMPUAN")</f>
        <v>PEREMPUAN</v>
      </c>
      <c r="K111" s="9" t="str">
        <f>IFERROR(__xludf.DUMMYFUNCTION("""COMPUTED_VALUE"""),"jl. made sabara, batalaiworu, muna")</f>
        <v>jl. made sabara, batalaiworu, muna</v>
      </c>
      <c r="L111" s="9"/>
      <c r="M111" s="9"/>
      <c r="N111" s="8" t="s">
        <v>19</v>
      </c>
      <c r="O111" s="9"/>
      <c r="P111" s="9"/>
      <c r="Q111" s="9"/>
      <c r="R111" s="10" t="str">
        <f>IFERROR(__xludf.DUMMYFUNCTION("""COMPUTED_VALUE"""),"K")</f>
        <v>K</v>
      </c>
      <c r="S111" s="8" t="s">
        <v>20</v>
      </c>
    </row>
    <row r="112" ht="22.5" customHeight="1">
      <c r="A112" s="6">
        <v>111.0</v>
      </c>
      <c r="B112" s="9" t="str">
        <f>IFERROR(__xludf.DUMMYFUNCTION("""COMPUTED_VALUE"""),"Pemeliharaan Kendaraan Ringan Sistem Injeksi ")</f>
        <v>Pemeliharaan Kendaraan Ringan Sistem Injeksi </v>
      </c>
      <c r="C112" s="9" t="str">
        <f>IFERROR(__xludf.DUMMYFUNCTION("""COMPUTED_VALUE"""),"SMK Negeri 2 Kendari")</f>
        <v>SMK Negeri 2 Kendari</v>
      </c>
      <c r="D112" s="9"/>
      <c r="E112" s="9"/>
      <c r="F112" s="9" t="str">
        <f>IFERROR(__xludf.DUMMYFUNCTION("""COMPUTED_VALUE"""),"Ade Irasman")</f>
        <v>Ade Irasman</v>
      </c>
      <c r="G112" s="9" t="str">
        <f>IFERROR(__xludf.DUMMYFUNCTION("""COMPUTED_VALUE"""),"7403100807082275")</f>
        <v>7403100807082275</v>
      </c>
      <c r="H112" s="9"/>
      <c r="I112" s="9"/>
      <c r="J112" s="10" t="str">
        <f>IFERROR(__xludf.DUMMYFUNCTION("""COMPUTED_VALUE"""),"LAKI-LAKI")</f>
        <v>LAKI-LAKI</v>
      </c>
      <c r="K112" s="9" t="str">
        <f>IFERROR(__xludf.DUMMYFUNCTION("""COMPUTED_VALUE"""),"Jl. Budi Utomo Kemp. P210")</f>
        <v>Jl. Budi Utomo Kemp. P210</v>
      </c>
      <c r="L112" s="9"/>
      <c r="M112" s="9"/>
      <c r="N112" s="8" t="s">
        <v>19</v>
      </c>
      <c r="O112" s="9"/>
      <c r="P112" s="9"/>
      <c r="Q112" s="9"/>
      <c r="R112" s="10" t="str">
        <f>IFERROR(__xludf.DUMMYFUNCTION("""COMPUTED_VALUE"""),"K")</f>
        <v>K</v>
      </c>
      <c r="S112" s="8" t="s">
        <v>20</v>
      </c>
    </row>
    <row r="113" ht="22.5" customHeight="1">
      <c r="A113" s="6">
        <v>112.0</v>
      </c>
      <c r="B113" s="9" t="str">
        <f>IFERROR(__xludf.DUMMYFUNCTION("""COMPUTED_VALUE"""),"Pemeliharaan Kendaraan Ringan Sistem Injeksi ")</f>
        <v>Pemeliharaan Kendaraan Ringan Sistem Injeksi </v>
      </c>
      <c r="C113" s="9" t="str">
        <f>IFERROR(__xludf.DUMMYFUNCTION("""COMPUTED_VALUE"""),"SMK Negeri 2 Kendari")</f>
        <v>SMK Negeri 2 Kendari</v>
      </c>
      <c r="D113" s="9"/>
      <c r="E113" s="9"/>
      <c r="F113" s="9" t="str">
        <f>IFERROR(__xludf.DUMMYFUNCTION("""COMPUTED_VALUE"""),"Afgan")</f>
        <v>Afgan</v>
      </c>
      <c r="G113" s="9" t="str">
        <f>IFERROR(__xludf.DUMMYFUNCTION("""COMPUTED_VALUE"""),"7406100605080001")</f>
        <v>7406100605080001</v>
      </c>
      <c r="H113" s="9"/>
      <c r="I113" s="9"/>
      <c r="J113" s="10" t="str">
        <f>IFERROR(__xludf.DUMMYFUNCTION("""COMPUTED_VALUE"""),"LAKI-LAKI")</f>
        <v>LAKI-LAKI</v>
      </c>
      <c r="K113" s="9" t="str">
        <f>IFERROR(__xludf.DUMMYFUNCTION("""COMPUTED_VALUE"""),"Jl. BTN Unhalu Blok F No. 13")</f>
        <v>Jl. BTN Unhalu Blok F No. 13</v>
      </c>
      <c r="L113" s="9"/>
      <c r="M113" s="9"/>
      <c r="N113" s="8" t="s">
        <v>19</v>
      </c>
      <c r="O113" s="9"/>
      <c r="P113" s="9"/>
      <c r="Q113" s="9"/>
      <c r="R113" s="10" t="str">
        <f>IFERROR(__xludf.DUMMYFUNCTION("""COMPUTED_VALUE"""),"K")</f>
        <v>K</v>
      </c>
      <c r="S113" s="8" t="s">
        <v>20</v>
      </c>
    </row>
    <row r="114" ht="22.5" customHeight="1">
      <c r="A114" s="6">
        <v>113.0</v>
      </c>
      <c r="B114" s="9" t="str">
        <f>IFERROR(__xludf.DUMMYFUNCTION("""COMPUTED_VALUE"""),"Pemeliharaan Kendaraan Ringan Sistem Injeksi ")</f>
        <v>Pemeliharaan Kendaraan Ringan Sistem Injeksi </v>
      </c>
      <c r="C114" s="9" t="str">
        <f>IFERROR(__xludf.DUMMYFUNCTION("""COMPUTED_VALUE"""),"SMK Negeri 2 Kendari")</f>
        <v>SMK Negeri 2 Kendari</v>
      </c>
      <c r="D114" s="9"/>
      <c r="E114" s="9"/>
      <c r="F114" s="9" t="str">
        <f>IFERROR(__xludf.DUMMYFUNCTION("""COMPUTED_VALUE"""),"Alan Tinus Dua Lembang")</f>
        <v>Alan Tinus Dua Lembang</v>
      </c>
      <c r="G114" s="9" t="str">
        <f>IFERROR(__xludf.DUMMYFUNCTION("""COMPUTED_VALUE"""),"7402181306080001")</f>
        <v>7402181306080001</v>
      </c>
      <c r="H114" s="9"/>
      <c r="I114" s="9"/>
      <c r="J114" s="10" t="str">
        <f>IFERROR(__xludf.DUMMYFUNCTION("""COMPUTED_VALUE"""),"LAKI-LAKI")</f>
        <v>LAKI-LAKI</v>
      </c>
      <c r="K114" s="9" t="str">
        <f>IFERROR(__xludf.DUMMYFUNCTION("""COMPUTED_VALUE"""),"Jl. Jendral Ahmad Yani, Kec. Wua-wua")</f>
        <v>Jl. Jendral Ahmad Yani, Kec. Wua-wua</v>
      </c>
      <c r="L114" s="9"/>
      <c r="M114" s="9"/>
      <c r="N114" s="8" t="s">
        <v>19</v>
      </c>
      <c r="O114" s="9"/>
      <c r="P114" s="9"/>
      <c r="Q114" s="9"/>
      <c r="R114" s="10" t="str">
        <f>IFERROR(__xludf.DUMMYFUNCTION("""COMPUTED_VALUE"""),"K")</f>
        <v>K</v>
      </c>
      <c r="S114" s="8" t="s">
        <v>20</v>
      </c>
    </row>
    <row r="115" ht="22.5" customHeight="1">
      <c r="A115" s="6">
        <v>114.0</v>
      </c>
      <c r="B115" s="9" t="str">
        <f>IFERROR(__xludf.DUMMYFUNCTION("""COMPUTED_VALUE"""),"Pemeliharaan Kendaraan Ringan Sistem Injeksi ")</f>
        <v>Pemeliharaan Kendaraan Ringan Sistem Injeksi </v>
      </c>
      <c r="C115" s="9" t="str">
        <f>IFERROR(__xludf.DUMMYFUNCTION("""COMPUTED_VALUE"""),"SMK Negeri 2 Kendari")</f>
        <v>SMK Negeri 2 Kendari</v>
      </c>
      <c r="D115" s="9"/>
      <c r="E115" s="9"/>
      <c r="F115" s="9" t="str">
        <f>IFERROR(__xludf.DUMMYFUNCTION("""COMPUTED_VALUE"""),"Alif Fahri Adan D.")</f>
        <v>Alif Fahri Adan D.</v>
      </c>
      <c r="G115" s="9" t="str">
        <f>IFERROR(__xludf.DUMMYFUNCTION("""COMPUTED_VALUE"""),"7471425345200023")</f>
        <v>7471425345200023</v>
      </c>
      <c r="H115" s="9"/>
      <c r="I115" s="9"/>
      <c r="J115" s="10" t="str">
        <f>IFERROR(__xludf.DUMMYFUNCTION("""COMPUTED_VALUE"""),"PEREMPUAN")</f>
        <v>PEREMPUAN</v>
      </c>
      <c r="K115" s="9" t="str">
        <f>IFERROR(__xludf.DUMMYFUNCTION("""COMPUTED_VALUE"""),"Osumetundu")</f>
        <v>Osumetundu</v>
      </c>
      <c r="L115" s="9"/>
      <c r="M115" s="9"/>
      <c r="N115" s="8" t="s">
        <v>19</v>
      </c>
      <c r="O115" s="9"/>
      <c r="P115" s="9"/>
      <c r="Q115" s="9"/>
      <c r="R115" s="10" t="str">
        <f>IFERROR(__xludf.DUMMYFUNCTION("""COMPUTED_VALUE"""),"BK")</f>
        <v>BK</v>
      </c>
      <c r="S115" s="8" t="s">
        <v>20</v>
      </c>
    </row>
    <row r="116" ht="22.5" customHeight="1">
      <c r="A116" s="6">
        <v>115.0</v>
      </c>
      <c r="B116" s="9" t="str">
        <f>IFERROR(__xludf.DUMMYFUNCTION("""COMPUTED_VALUE"""),"Pemeliharaan Kendaraan Ringan Sistem Injeksi ")</f>
        <v>Pemeliharaan Kendaraan Ringan Sistem Injeksi </v>
      </c>
      <c r="C116" s="9" t="str">
        <f>IFERROR(__xludf.DUMMYFUNCTION("""COMPUTED_VALUE"""),"SMK Negeri 2 Kendari")</f>
        <v>SMK Negeri 2 Kendari</v>
      </c>
      <c r="D116" s="9"/>
      <c r="E116" s="9"/>
      <c r="F116" s="9" t="str">
        <f>IFERROR(__xludf.DUMMYFUNCTION("""COMPUTED_VALUE"""),"Amirul Hakim")</f>
        <v>Amirul Hakim</v>
      </c>
      <c r="G116" s="9" t="str">
        <f>IFERROR(__xludf.DUMMYFUNCTION("""COMPUTED_VALUE"""),"7306082507080004")</f>
        <v>7306082507080004</v>
      </c>
      <c r="H116" s="9"/>
      <c r="I116" s="9"/>
      <c r="J116" s="10" t="str">
        <f>IFERROR(__xludf.DUMMYFUNCTION("""COMPUTED_VALUE"""),"LAKI-LAKI")</f>
        <v>LAKI-LAKI</v>
      </c>
      <c r="K116" s="9" t="str">
        <f>IFERROR(__xludf.DUMMYFUNCTION("""COMPUTED_VALUE"""),"BTN Mutiara Athika Baruga Blok E04")</f>
        <v>BTN Mutiara Athika Baruga Blok E04</v>
      </c>
      <c r="L116" s="9"/>
      <c r="M116" s="9"/>
      <c r="N116" s="8" t="s">
        <v>19</v>
      </c>
      <c r="O116" s="9"/>
      <c r="P116" s="9"/>
      <c r="Q116" s="9"/>
      <c r="R116" s="10" t="str">
        <f>IFERROR(__xludf.DUMMYFUNCTION("""COMPUTED_VALUE"""),"K")</f>
        <v>K</v>
      </c>
      <c r="S116" s="8" t="s">
        <v>20</v>
      </c>
    </row>
    <row r="117" ht="22.5" customHeight="1">
      <c r="A117" s="6">
        <v>116.0</v>
      </c>
      <c r="B117" s="9" t="str">
        <f>IFERROR(__xludf.DUMMYFUNCTION("""COMPUTED_VALUE"""),"Pemeliharaan Kendaraan Ringan Sistem Injeksi ")</f>
        <v>Pemeliharaan Kendaraan Ringan Sistem Injeksi </v>
      </c>
      <c r="C117" s="9" t="str">
        <f>IFERROR(__xludf.DUMMYFUNCTION("""COMPUTED_VALUE"""),"SMK Negeri 2 Kendari")</f>
        <v>SMK Negeri 2 Kendari</v>
      </c>
      <c r="D117" s="9"/>
      <c r="E117" s="9"/>
      <c r="F117" s="9" t="str">
        <f>IFERROR(__xludf.DUMMYFUNCTION("""COMPUTED_VALUE"""),"Andi Muh Yahya. S")</f>
        <v>Andi Muh Yahya. S</v>
      </c>
      <c r="G117" s="9" t="str">
        <f>IFERROR(__xludf.DUMMYFUNCTION("""COMPUTED_VALUE"""),"7471010312090001")</f>
        <v>7471010312090001</v>
      </c>
      <c r="H117" s="9"/>
      <c r="I117" s="9"/>
      <c r="J117" s="10" t="str">
        <f>IFERROR(__xludf.DUMMYFUNCTION("""COMPUTED_VALUE"""),"LAKI-LAKI")</f>
        <v>LAKI-LAKI</v>
      </c>
      <c r="K117" s="9" t="str">
        <f>IFERROR(__xludf.DUMMYFUNCTION("""COMPUTED_VALUE"""),"Jln. Bersih Hatiku")</f>
        <v>Jln. Bersih Hatiku</v>
      </c>
      <c r="L117" s="9"/>
      <c r="M117" s="9"/>
      <c r="N117" s="8" t="s">
        <v>19</v>
      </c>
      <c r="O117" s="9"/>
      <c r="P117" s="9"/>
      <c r="Q117" s="9"/>
      <c r="R117" s="10" t="str">
        <f>IFERROR(__xludf.DUMMYFUNCTION("""COMPUTED_VALUE"""),"K")</f>
        <v>K</v>
      </c>
      <c r="S117" s="8" t="s">
        <v>20</v>
      </c>
    </row>
    <row r="118" ht="22.5" customHeight="1">
      <c r="A118" s="6">
        <v>117.0</v>
      </c>
      <c r="B118" s="9" t="str">
        <f>IFERROR(__xludf.DUMMYFUNCTION("""COMPUTED_VALUE"""),"Pemeliharaan Kendaraan Ringan Sistem Injeksi ")</f>
        <v>Pemeliharaan Kendaraan Ringan Sistem Injeksi </v>
      </c>
      <c r="C118" s="9" t="str">
        <f>IFERROR(__xludf.DUMMYFUNCTION("""COMPUTED_VALUE"""),"SMK Negeri 2 Kendari")</f>
        <v>SMK Negeri 2 Kendari</v>
      </c>
      <c r="D118" s="9"/>
      <c r="E118" s="9"/>
      <c r="F118" s="9" t="str">
        <f>IFERROR(__xludf.DUMMYFUNCTION("""COMPUTED_VALUE"""),"Arli")</f>
        <v>Arli</v>
      </c>
      <c r="G118" s="9" t="str">
        <f>IFERROR(__xludf.DUMMYFUNCTION("""COMPUTED_VALUE"""),"7471041109070001")</f>
        <v>7471041109070001</v>
      </c>
      <c r="H118" s="9"/>
      <c r="I118" s="9"/>
      <c r="J118" s="10" t="str">
        <f>IFERROR(__xludf.DUMMYFUNCTION("""COMPUTED_VALUE"""),"LAKI-LAKI")</f>
        <v>LAKI-LAKI</v>
      </c>
      <c r="K118" s="9" t="str">
        <f>IFERROR(__xludf.DUMMYFUNCTION("""COMPUTED_VALUE"""),"Jl. Kelapa Andonohu Poasia")</f>
        <v>Jl. Kelapa Andonohu Poasia</v>
      </c>
      <c r="L118" s="9"/>
      <c r="M118" s="9"/>
      <c r="N118" s="8" t="s">
        <v>19</v>
      </c>
      <c r="O118" s="9"/>
      <c r="P118" s="9"/>
      <c r="Q118" s="9"/>
      <c r="R118" s="10" t="str">
        <f>IFERROR(__xludf.DUMMYFUNCTION("""COMPUTED_VALUE"""),"K")</f>
        <v>K</v>
      </c>
      <c r="S118" s="8" t="s">
        <v>20</v>
      </c>
    </row>
    <row r="119" ht="22.5" customHeight="1">
      <c r="A119" s="6">
        <v>118.0</v>
      </c>
      <c r="B119" s="9" t="str">
        <f>IFERROR(__xludf.DUMMYFUNCTION("""COMPUTED_VALUE"""),"Pemeliharaan Kendaraan Ringan Sistem Injeksi ")</f>
        <v>Pemeliharaan Kendaraan Ringan Sistem Injeksi </v>
      </c>
      <c r="C119" s="9" t="str">
        <f>IFERROR(__xludf.DUMMYFUNCTION("""COMPUTED_VALUE"""),"SMK Negeri 2 Kendari")</f>
        <v>SMK Negeri 2 Kendari</v>
      </c>
      <c r="D119" s="9"/>
      <c r="E119" s="9"/>
      <c r="F119" s="9" t="str">
        <f>IFERROR(__xludf.DUMMYFUNCTION("""COMPUTED_VALUE"""),"Bashair Busran Muhammad Syawal")</f>
        <v>Bashair Busran Muhammad Syawal</v>
      </c>
      <c r="G119" s="9" t="str">
        <f>IFERROR(__xludf.DUMMYFUNCTION("""COMPUTED_VALUE"""),"7471032710080002")</f>
        <v>7471032710080002</v>
      </c>
      <c r="H119" s="9"/>
      <c r="I119" s="9"/>
      <c r="J119" s="10" t="str">
        <f>IFERROR(__xludf.DUMMYFUNCTION("""COMPUTED_VALUE"""),"LAKI-LAKI")</f>
        <v>LAKI-LAKI</v>
      </c>
      <c r="K119" s="9" t="str">
        <f>IFERROR(__xludf.DUMMYFUNCTION("""COMPUTED_VALUE"""),"BTN Lepo-lepo Permai")</f>
        <v>BTN Lepo-lepo Permai</v>
      </c>
      <c r="L119" s="9"/>
      <c r="M119" s="9"/>
      <c r="N119" s="8" t="s">
        <v>19</v>
      </c>
      <c r="O119" s="9"/>
      <c r="P119" s="9"/>
      <c r="Q119" s="9"/>
      <c r="R119" s="10" t="str">
        <f>IFERROR(__xludf.DUMMYFUNCTION("""COMPUTED_VALUE"""),"K")</f>
        <v>K</v>
      </c>
      <c r="S119" s="8" t="s">
        <v>20</v>
      </c>
    </row>
    <row r="120" ht="22.5" customHeight="1">
      <c r="A120" s="6">
        <v>119.0</v>
      </c>
      <c r="B120" s="9" t="str">
        <f>IFERROR(__xludf.DUMMYFUNCTION("""COMPUTED_VALUE"""),"Pemeliharaan Kendaraan Ringan Sistem Injeksi ")</f>
        <v>Pemeliharaan Kendaraan Ringan Sistem Injeksi </v>
      </c>
      <c r="C120" s="9" t="str">
        <f>IFERROR(__xludf.DUMMYFUNCTION("""COMPUTED_VALUE"""),"SMK Negeri 2 Kendari")</f>
        <v>SMK Negeri 2 Kendari</v>
      </c>
      <c r="D120" s="9"/>
      <c r="E120" s="9"/>
      <c r="F120" s="9" t="str">
        <f>IFERROR(__xludf.DUMMYFUNCTION("""COMPUTED_VALUE"""),"Dimas Saputra")</f>
        <v>Dimas Saputra</v>
      </c>
      <c r="G120" s="9" t="str">
        <f>IFERROR(__xludf.DUMMYFUNCTION("""COMPUTED_VALUE"""),"7471012104080002")</f>
        <v>7471012104080002</v>
      </c>
      <c r="H120" s="9"/>
      <c r="I120" s="9"/>
      <c r="J120" s="10" t="str">
        <f>IFERROR(__xludf.DUMMYFUNCTION("""COMPUTED_VALUE"""),"LAKI-LAKI")</f>
        <v>LAKI-LAKI</v>
      </c>
      <c r="K120" s="9" t="str">
        <f>IFERROR(__xludf.DUMMYFUNCTION("""COMPUTED_VALUE"""),"Jln. Osumettundu")</f>
        <v>Jln. Osumettundu</v>
      </c>
      <c r="L120" s="9"/>
      <c r="M120" s="9"/>
      <c r="N120" s="8" t="s">
        <v>19</v>
      </c>
      <c r="O120" s="9"/>
      <c r="P120" s="9"/>
      <c r="Q120" s="9"/>
      <c r="R120" s="10" t="str">
        <f>IFERROR(__xludf.DUMMYFUNCTION("""COMPUTED_VALUE"""),"K")</f>
        <v>K</v>
      </c>
      <c r="S120" s="8" t="s">
        <v>20</v>
      </c>
    </row>
    <row r="121" ht="22.5" customHeight="1">
      <c r="A121" s="6">
        <v>120.0</v>
      </c>
      <c r="B121" s="9" t="str">
        <f>IFERROR(__xludf.DUMMYFUNCTION("""COMPUTED_VALUE"""),"Pemeliharaan Kendaraan Ringan Sistem Injeksi ")</f>
        <v>Pemeliharaan Kendaraan Ringan Sistem Injeksi </v>
      </c>
      <c r="C121" s="9" t="str">
        <f>IFERROR(__xludf.DUMMYFUNCTION("""COMPUTED_VALUE"""),"SMK Negeri 2 Kendari")</f>
        <v>SMK Negeri 2 Kendari</v>
      </c>
      <c r="D121" s="9"/>
      <c r="E121" s="9"/>
      <c r="F121" s="9" t="str">
        <f>IFERROR(__xludf.DUMMYFUNCTION("""COMPUTED_VALUE"""),"Hiddir Syah Alam")</f>
        <v>Hiddir Syah Alam</v>
      </c>
      <c r="G121" s="9" t="str">
        <f>IFERROR(__xludf.DUMMYFUNCTION("""COMPUTED_VALUE"""),"7471091411090002")</f>
        <v>7471091411090002</v>
      </c>
      <c r="H121" s="9"/>
      <c r="I121" s="9"/>
      <c r="J121" s="10" t="str">
        <f>IFERROR(__xludf.DUMMYFUNCTION("""COMPUTED_VALUE"""),"LAKI-LAKI")</f>
        <v>LAKI-LAKI</v>
      </c>
      <c r="K121" s="9" t="str">
        <f>IFERROR(__xludf.DUMMYFUNCTION("""COMPUTED_VALUE"""),"Jl. Chairil Anwar")</f>
        <v>Jl. Chairil Anwar</v>
      </c>
      <c r="L121" s="9"/>
      <c r="M121" s="9"/>
      <c r="N121" s="8" t="s">
        <v>19</v>
      </c>
      <c r="O121" s="9"/>
      <c r="P121" s="9"/>
      <c r="Q121" s="9"/>
      <c r="R121" s="10" t="str">
        <f>IFERROR(__xludf.DUMMYFUNCTION("""COMPUTED_VALUE"""),"K")</f>
        <v>K</v>
      </c>
      <c r="S121" s="8" t="s">
        <v>20</v>
      </c>
    </row>
    <row r="122" ht="22.5" customHeight="1">
      <c r="A122" s="6">
        <v>121.0</v>
      </c>
      <c r="B122" s="9" t="str">
        <f>IFERROR(__xludf.DUMMYFUNCTION("""COMPUTED_VALUE"""),"Pemeliharaan Kendaraan Ringan Sistem Injeksi ")</f>
        <v>Pemeliharaan Kendaraan Ringan Sistem Injeksi </v>
      </c>
      <c r="C122" s="9" t="str">
        <f>IFERROR(__xludf.DUMMYFUNCTION("""COMPUTED_VALUE"""),"SMK Negeri 2 Kendari")</f>
        <v>SMK Negeri 2 Kendari</v>
      </c>
      <c r="D122" s="9"/>
      <c r="E122" s="9"/>
      <c r="F122" s="9" t="str">
        <f>IFERROR(__xludf.DUMMYFUNCTION("""COMPUTED_VALUE"""),"I Kadek Adi Suwardana")</f>
        <v>I Kadek Adi Suwardana</v>
      </c>
      <c r="G122" s="9" t="str">
        <f>IFERROR(__xludf.DUMMYFUNCTION("""COMPUTED_VALUE"""),"7405222802080001")</f>
        <v>7405222802080001</v>
      </c>
      <c r="H122" s="9"/>
      <c r="I122" s="9"/>
      <c r="J122" s="10" t="str">
        <f>IFERROR(__xludf.DUMMYFUNCTION("""COMPUTED_VALUE"""),"LAKI-LAKI")</f>
        <v>LAKI-LAKI</v>
      </c>
      <c r="K122" s="9" t="str">
        <f>IFERROR(__xludf.DUMMYFUNCTION("""COMPUTED_VALUE"""),"Amokuni, RT/RW 003/000, Kabupaten Konawe Selatan")</f>
        <v>Amokuni, RT/RW 003/000, Kabupaten Konawe Selatan</v>
      </c>
      <c r="L122" s="9"/>
      <c r="M122" s="9"/>
      <c r="N122" s="8" t="s">
        <v>19</v>
      </c>
      <c r="O122" s="9"/>
      <c r="P122" s="9"/>
      <c r="Q122" s="9"/>
      <c r="R122" s="10" t="str">
        <f>IFERROR(__xludf.DUMMYFUNCTION("""COMPUTED_VALUE"""),"K")</f>
        <v>K</v>
      </c>
      <c r="S122" s="8" t="s">
        <v>20</v>
      </c>
    </row>
    <row r="123" ht="22.5" customHeight="1">
      <c r="A123" s="6">
        <v>122.0</v>
      </c>
      <c r="B123" s="9" t="str">
        <f>IFERROR(__xludf.DUMMYFUNCTION("""COMPUTED_VALUE"""),"Pemeliharaan Kendaraan Ringan Sistem Injeksi ")</f>
        <v>Pemeliharaan Kendaraan Ringan Sistem Injeksi </v>
      </c>
      <c r="C123" s="9" t="str">
        <f>IFERROR(__xludf.DUMMYFUNCTION("""COMPUTED_VALUE"""),"SMK Negeri 2 Kendari")</f>
        <v>SMK Negeri 2 Kendari</v>
      </c>
      <c r="D123" s="9"/>
      <c r="E123" s="9"/>
      <c r="F123" s="9" t="str">
        <f>IFERROR(__xludf.DUMMYFUNCTION("""COMPUTED_VALUE"""),"Ida Ketut Tantra Yana")</f>
        <v>Ida Ketut Tantra Yana</v>
      </c>
      <c r="G123" s="9" t="str">
        <f>IFERROR(__xludf.DUMMYFUNCTION("""COMPUTED_VALUE"""),"7410040703070001")</f>
        <v>7410040703070001</v>
      </c>
      <c r="H123" s="9"/>
      <c r="I123" s="9"/>
      <c r="J123" s="10" t="str">
        <f>IFERROR(__xludf.DUMMYFUNCTION("""COMPUTED_VALUE"""),"LAKI-LAKI")</f>
        <v>LAKI-LAKI</v>
      </c>
      <c r="K123" s="9" t="str">
        <f>IFERROR(__xludf.DUMMYFUNCTION("""COMPUTED_VALUE"""),"Jalan Poros Ebekt Bau-bau")</f>
        <v>Jalan Poros Ebekt Bau-bau</v>
      </c>
      <c r="L123" s="9"/>
      <c r="M123" s="9"/>
      <c r="N123" s="8" t="s">
        <v>19</v>
      </c>
      <c r="O123" s="9"/>
      <c r="P123" s="9"/>
      <c r="Q123" s="9"/>
      <c r="R123" s="10" t="str">
        <f>IFERROR(__xludf.DUMMYFUNCTION("""COMPUTED_VALUE"""),"K")</f>
        <v>K</v>
      </c>
      <c r="S123" s="8" t="s">
        <v>20</v>
      </c>
    </row>
    <row r="124" ht="22.5" customHeight="1">
      <c r="A124" s="6">
        <v>123.0</v>
      </c>
      <c r="B124" s="9" t="str">
        <f>IFERROR(__xludf.DUMMYFUNCTION("""COMPUTED_VALUE"""),"Pemeliharaan Kendaraan Ringan Sistem Injeksi ")</f>
        <v>Pemeliharaan Kendaraan Ringan Sistem Injeksi </v>
      </c>
      <c r="C124" s="9" t="str">
        <f>IFERROR(__xludf.DUMMYFUNCTION("""COMPUTED_VALUE"""),"SMK Negeri 2 Kendari")</f>
        <v>SMK Negeri 2 Kendari</v>
      </c>
      <c r="D124" s="9"/>
      <c r="E124" s="9"/>
      <c r="F124" s="9" t="str">
        <f>IFERROR(__xludf.DUMMYFUNCTION("""COMPUTED_VALUE"""),"Irdy Wildy")</f>
        <v>Irdy Wildy</v>
      </c>
      <c r="G124" s="9" t="str">
        <f>IFERROR(__xludf.DUMMYFUNCTION("""COMPUTED_VALUE"""),"7471071403080001")</f>
        <v>7471071403080001</v>
      </c>
      <c r="H124" s="9"/>
      <c r="I124" s="9"/>
      <c r="J124" s="10" t="str">
        <f>IFERROR(__xludf.DUMMYFUNCTION("""COMPUTED_VALUE"""),"LAKI-LAKI")</f>
        <v>LAKI-LAKI</v>
      </c>
      <c r="K124" s="9" t="str">
        <f>IFERROR(__xludf.DUMMYFUNCTION("""COMPUTED_VALUE"""),"Jl. Patimura")</f>
        <v>Jl. Patimura</v>
      </c>
      <c r="L124" s="9"/>
      <c r="M124" s="9"/>
      <c r="N124" s="8" t="s">
        <v>19</v>
      </c>
      <c r="O124" s="9"/>
      <c r="P124" s="9"/>
      <c r="Q124" s="9"/>
      <c r="R124" s="10" t="str">
        <f>IFERROR(__xludf.DUMMYFUNCTION("""COMPUTED_VALUE"""),"K")</f>
        <v>K</v>
      </c>
      <c r="S124" s="8" t="s">
        <v>20</v>
      </c>
    </row>
    <row r="125" ht="22.5" customHeight="1">
      <c r="A125" s="6">
        <v>124.0</v>
      </c>
      <c r="B125" s="9" t="str">
        <f>IFERROR(__xludf.DUMMYFUNCTION("""COMPUTED_VALUE"""),"Pemeliharaan Kendaraan Ringan Sistem Injeksi ")</f>
        <v>Pemeliharaan Kendaraan Ringan Sistem Injeksi </v>
      </c>
      <c r="C125" s="9" t="str">
        <f>IFERROR(__xludf.DUMMYFUNCTION("""COMPUTED_VALUE"""),"SMK Negeri 2 Kendari")</f>
        <v>SMK Negeri 2 Kendari</v>
      </c>
      <c r="D125" s="9"/>
      <c r="E125" s="9"/>
      <c r="F125" s="9" t="str">
        <f>IFERROR(__xludf.DUMMYFUNCTION("""COMPUTED_VALUE"""),"Muh. Al Fachri Z")</f>
        <v>Muh. Al Fachri Z</v>
      </c>
      <c r="G125" s="9" t="str">
        <f>IFERROR(__xludf.DUMMYFUNCTION("""COMPUTED_VALUE"""),"7471627676387698")</f>
        <v>7471627676387698</v>
      </c>
      <c r="H125" s="9"/>
      <c r="I125" s="9"/>
      <c r="J125" s="10" t="str">
        <f>IFERROR(__xludf.DUMMYFUNCTION("""COMPUTED_VALUE"""),"PEREMPUAN")</f>
        <v>PEREMPUAN</v>
      </c>
      <c r="K125" s="9" t="str">
        <f>IFERROR(__xludf.DUMMYFUNCTION("""COMPUTED_VALUE"""),"Jl. Mekar Jaya 1 Komp. SMPN 17")</f>
        <v>Jl. Mekar Jaya 1 Komp. SMPN 17</v>
      </c>
      <c r="L125" s="9"/>
      <c r="M125" s="9"/>
      <c r="N125" s="8" t="s">
        <v>19</v>
      </c>
      <c r="O125" s="9"/>
      <c r="P125" s="9"/>
      <c r="Q125" s="9"/>
      <c r="R125" s="10" t="str">
        <f>IFERROR(__xludf.DUMMYFUNCTION("""COMPUTED_VALUE"""),"K")</f>
        <v>K</v>
      </c>
      <c r="S125" s="8" t="s">
        <v>20</v>
      </c>
    </row>
    <row r="126" ht="22.5" customHeight="1">
      <c r="A126" s="6">
        <v>125.0</v>
      </c>
      <c r="B126" s="9" t="str">
        <f>IFERROR(__xludf.DUMMYFUNCTION("""COMPUTED_VALUE"""),"Pemeliharaan Kendaraan Ringan Sistem Injeksi ")</f>
        <v>Pemeliharaan Kendaraan Ringan Sistem Injeksi </v>
      </c>
      <c r="C126" s="9" t="str">
        <f>IFERROR(__xludf.DUMMYFUNCTION("""COMPUTED_VALUE"""),"SMK Negeri 2 Kendari")</f>
        <v>SMK Negeri 2 Kendari</v>
      </c>
      <c r="D126" s="9"/>
      <c r="E126" s="9"/>
      <c r="F126" s="9" t="str">
        <f>IFERROR(__xludf.DUMMYFUNCTION("""COMPUTED_VALUE"""),"Muh. Revan")</f>
        <v>Muh. Revan</v>
      </c>
      <c r="G126" s="9" t="str">
        <f>IFERROR(__xludf.DUMMYFUNCTION("""COMPUTED_VALUE"""),"7471013105070001")</f>
        <v>7471013105070001</v>
      </c>
      <c r="H126" s="9"/>
      <c r="I126" s="9"/>
      <c r="J126" s="10" t="str">
        <f>IFERROR(__xludf.DUMMYFUNCTION("""COMPUTED_VALUE"""),"LAKI-LAKI")</f>
        <v>LAKI-LAKI</v>
      </c>
      <c r="K126" s="9" t="str">
        <f>IFERROR(__xludf.DUMMYFUNCTION("""COMPUTED_VALUE"""),"Jln. Osumettundu")</f>
        <v>Jln. Osumettundu</v>
      </c>
      <c r="L126" s="9"/>
      <c r="M126" s="9"/>
      <c r="N126" s="8" t="s">
        <v>19</v>
      </c>
      <c r="O126" s="9"/>
      <c r="P126" s="9"/>
      <c r="Q126" s="9"/>
      <c r="R126" s="10" t="str">
        <f>IFERROR(__xludf.DUMMYFUNCTION("""COMPUTED_VALUE"""),"K")</f>
        <v>K</v>
      </c>
      <c r="S126" s="8" t="s">
        <v>20</v>
      </c>
    </row>
    <row r="127" ht="22.5" customHeight="1">
      <c r="A127" s="6">
        <v>126.0</v>
      </c>
      <c r="B127" s="9" t="str">
        <f>IFERROR(__xludf.DUMMYFUNCTION("""COMPUTED_VALUE"""),"Pemeliharaan Kendaraan Ringan Sistem Injeksi ")</f>
        <v>Pemeliharaan Kendaraan Ringan Sistem Injeksi </v>
      </c>
      <c r="C127" s="9" t="str">
        <f>IFERROR(__xludf.DUMMYFUNCTION("""COMPUTED_VALUE"""),"SMK Negeri 2 Kendari")</f>
        <v>SMK Negeri 2 Kendari</v>
      </c>
      <c r="D127" s="9"/>
      <c r="E127" s="9"/>
      <c r="F127" s="9" t="str">
        <f>IFERROR(__xludf.DUMMYFUNCTION("""COMPUTED_VALUE"""),"Muh. Risky Febryanzah")</f>
        <v>Muh. Risky Febryanzah</v>
      </c>
      <c r="G127" s="9" t="str">
        <f>IFERROR(__xludf.DUMMYFUNCTION("""COMPUTED_VALUE"""),"7402331102090001")</f>
        <v>7402331102090001</v>
      </c>
      <c r="H127" s="9"/>
      <c r="I127" s="9"/>
      <c r="J127" s="10" t="str">
        <f>IFERROR(__xludf.DUMMYFUNCTION("""COMPUTED_VALUE"""),"LAKI-LAKI")</f>
        <v>LAKI-LAKI</v>
      </c>
      <c r="K127" s="9" t="str">
        <f>IFERROR(__xludf.DUMMYFUNCTION("""COMPUTED_VALUE"""),"Desa Labotoy")</f>
        <v>Desa Labotoy</v>
      </c>
      <c r="L127" s="9"/>
      <c r="M127" s="9"/>
      <c r="N127" s="8" t="s">
        <v>19</v>
      </c>
      <c r="O127" s="9"/>
      <c r="P127" s="9"/>
      <c r="Q127" s="9"/>
      <c r="R127" s="10" t="str">
        <f>IFERROR(__xludf.DUMMYFUNCTION("""COMPUTED_VALUE"""),"K")</f>
        <v>K</v>
      </c>
      <c r="S127" s="8" t="s">
        <v>20</v>
      </c>
    </row>
    <row r="128" ht="22.5" customHeight="1">
      <c r="A128" s="6">
        <v>127.0</v>
      </c>
      <c r="B128" s="9" t="str">
        <f>IFERROR(__xludf.DUMMYFUNCTION("""COMPUTED_VALUE"""),"Pemeliharaan Kendaraan Ringan Sistem Injeksi ")</f>
        <v>Pemeliharaan Kendaraan Ringan Sistem Injeksi </v>
      </c>
      <c r="C128" s="9" t="str">
        <f>IFERROR(__xludf.DUMMYFUNCTION("""COMPUTED_VALUE"""),"SMK Negeri 2 Kendari")</f>
        <v>SMK Negeri 2 Kendari</v>
      </c>
      <c r="D128" s="9"/>
      <c r="E128" s="9"/>
      <c r="F128" s="9" t="str">
        <f>IFERROR(__xludf.DUMMYFUNCTION("""COMPUTED_VALUE"""),"Muh. Ansar Sitaba")</f>
        <v>Muh. Ansar Sitaba</v>
      </c>
      <c r="G128" s="9" t="str">
        <f>IFERROR(__xludf.DUMMYFUNCTION("""COMPUTED_VALUE"""),"7471052210090001")</f>
        <v>7471052210090001</v>
      </c>
      <c r="H128" s="9"/>
      <c r="I128" s="9"/>
      <c r="J128" s="10" t="str">
        <f>IFERROR(__xludf.DUMMYFUNCTION("""COMPUTED_VALUE"""),"LAKI-LAKI")</f>
        <v>LAKI-LAKI</v>
      </c>
      <c r="K128" s="9" t="str">
        <f>IFERROR(__xludf.DUMMYFUNCTION("""COMPUTED_VALUE"""),"Jl. saano Abeli Dalam Kec. Puuwatu")</f>
        <v>Jl. saano Abeli Dalam Kec. Puuwatu</v>
      </c>
      <c r="L128" s="9"/>
      <c r="M128" s="9"/>
      <c r="N128" s="8" t="s">
        <v>19</v>
      </c>
      <c r="O128" s="9"/>
      <c r="P128" s="9"/>
      <c r="Q128" s="9"/>
      <c r="R128" s="10" t="str">
        <f>IFERROR(__xludf.DUMMYFUNCTION("""COMPUTED_VALUE"""),"K")</f>
        <v>K</v>
      </c>
      <c r="S128" s="8" t="s">
        <v>20</v>
      </c>
    </row>
    <row r="129" ht="22.5" customHeight="1">
      <c r="A129" s="6">
        <v>128.0</v>
      </c>
      <c r="B129" s="9" t="str">
        <f>IFERROR(__xludf.DUMMYFUNCTION("""COMPUTED_VALUE"""),"Pemeliharaan Kendaraan Ringan Sistem Injeksi ")</f>
        <v>Pemeliharaan Kendaraan Ringan Sistem Injeksi </v>
      </c>
      <c r="C129" s="9" t="str">
        <f>IFERROR(__xludf.DUMMYFUNCTION("""COMPUTED_VALUE"""),"SMK Negeri 2 Kendari")</f>
        <v>SMK Negeri 2 Kendari</v>
      </c>
      <c r="D129" s="9"/>
      <c r="E129" s="9"/>
      <c r="F129" s="9" t="str">
        <f>IFERROR(__xludf.DUMMYFUNCTION("""COMPUTED_VALUE"""),"Muhammad Anwar")</f>
        <v>Muhammad Anwar</v>
      </c>
      <c r="G129" s="9" t="str">
        <f>IFERROR(__xludf.DUMMYFUNCTION("""COMPUTED_VALUE"""),"7471032901090001")</f>
        <v>7471032901090001</v>
      </c>
      <c r="H129" s="9"/>
      <c r="I129" s="9"/>
      <c r="J129" s="10" t="str">
        <f>IFERROR(__xludf.DUMMYFUNCTION("""COMPUTED_VALUE"""),"LAKI-LAKI")</f>
        <v>LAKI-LAKI</v>
      </c>
      <c r="K129" s="9" t="str">
        <f>IFERROR(__xludf.DUMMYFUNCTION("""COMPUTED_VALUE"""),"Jl. Ade Irma Nasution/ RT 017 RW 007")</f>
        <v>Jl. Ade Irma Nasution/ RT 017 RW 007</v>
      </c>
      <c r="L129" s="9"/>
      <c r="M129" s="9"/>
      <c r="N129" s="8" t="s">
        <v>19</v>
      </c>
      <c r="O129" s="9"/>
      <c r="P129" s="9"/>
      <c r="Q129" s="9"/>
      <c r="R129" s="10" t="str">
        <f>IFERROR(__xludf.DUMMYFUNCTION("""COMPUTED_VALUE"""),"K")</f>
        <v>K</v>
      </c>
      <c r="S129" s="8" t="s">
        <v>20</v>
      </c>
    </row>
    <row r="130" ht="22.5" customHeight="1">
      <c r="A130" s="6">
        <v>129.0</v>
      </c>
      <c r="B130" s="9" t="str">
        <f>IFERROR(__xludf.DUMMYFUNCTION("""COMPUTED_VALUE"""),"Pemeliharaan Kendaraan Ringan Sistem Injeksi ")</f>
        <v>Pemeliharaan Kendaraan Ringan Sistem Injeksi </v>
      </c>
      <c r="C130" s="9" t="str">
        <f>IFERROR(__xludf.DUMMYFUNCTION("""COMPUTED_VALUE"""),"SMK Negeri 2 Kendari")</f>
        <v>SMK Negeri 2 Kendari</v>
      </c>
      <c r="D130" s="9"/>
      <c r="E130" s="9"/>
      <c r="F130" s="9" t="str">
        <f>IFERROR(__xludf.DUMMYFUNCTION("""COMPUTED_VALUE"""),"Muh. Gading")</f>
        <v>Muh. Gading</v>
      </c>
      <c r="G130" s="9" t="str">
        <f>IFERROR(__xludf.DUMMYFUNCTION("""COMPUTED_VALUE"""),"7471021203080002")</f>
        <v>7471021203080002</v>
      </c>
      <c r="H130" s="9"/>
      <c r="I130" s="9"/>
      <c r="J130" s="10" t="str">
        <f>IFERROR(__xludf.DUMMYFUNCTION("""COMPUTED_VALUE"""),"LAKI-LAKI")</f>
        <v>LAKI-LAKI</v>
      </c>
      <c r="K130" s="9" t="str">
        <f>IFERROR(__xludf.DUMMYFUNCTION("""COMPUTED_VALUE"""),"Jalan Poros Gunung Jati")</f>
        <v>Jalan Poros Gunung Jati</v>
      </c>
      <c r="L130" s="9"/>
      <c r="M130" s="9"/>
      <c r="N130" s="8" t="s">
        <v>19</v>
      </c>
      <c r="O130" s="9"/>
      <c r="P130" s="9"/>
      <c r="Q130" s="9"/>
      <c r="R130" s="10" t="str">
        <f>IFERROR(__xludf.DUMMYFUNCTION("""COMPUTED_VALUE"""),"K")</f>
        <v>K</v>
      </c>
      <c r="S130" s="8" t="s">
        <v>20</v>
      </c>
    </row>
    <row r="131" ht="22.5" customHeight="1">
      <c r="A131" s="6">
        <v>130.0</v>
      </c>
      <c r="B131" s="9" t="str">
        <f>IFERROR(__xludf.DUMMYFUNCTION("""COMPUTED_VALUE"""),"Pemeliharaan Kendaraan Ringan Sistem Injeksi ")</f>
        <v>Pemeliharaan Kendaraan Ringan Sistem Injeksi </v>
      </c>
      <c r="C131" s="9" t="str">
        <f>IFERROR(__xludf.DUMMYFUNCTION("""COMPUTED_VALUE"""),"SMK Negeri 2 Kendari")</f>
        <v>SMK Negeri 2 Kendari</v>
      </c>
      <c r="D131" s="9"/>
      <c r="E131" s="9"/>
      <c r="F131" s="9" t="str">
        <f>IFERROR(__xludf.DUMMYFUNCTION("""COMPUTED_VALUE"""),"Muhammad Rafi Abdullah")</f>
        <v>Muhammad Rafi Abdullah</v>
      </c>
      <c r="G131" s="9" t="str">
        <f>IFERROR(__xludf.DUMMYFUNCTION("""COMPUTED_VALUE"""),"7471081107080001")</f>
        <v>7471081107080001</v>
      </c>
      <c r="H131" s="9"/>
      <c r="I131" s="9"/>
      <c r="J131" s="10" t="str">
        <f>IFERROR(__xludf.DUMMYFUNCTION("""COMPUTED_VALUE"""),"LAKI-LAKI")</f>
        <v>LAKI-LAKI</v>
      </c>
      <c r="K131" s="9" t="str">
        <f>IFERROR(__xludf.DUMMYFUNCTION("""COMPUTED_VALUE"""),"Jl. Laremba No. A1")</f>
        <v>Jl. Laremba No. A1</v>
      </c>
      <c r="L131" s="9"/>
      <c r="M131" s="9"/>
      <c r="N131" s="8" t="s">
        <v>19</v>
      </c>
      <c r="O131" s="9"/>
      <c r="P131" s="9"/>
      <c r="Q131" s="9"/>
      <c r="R131" s="10" t="str">
        <f>IFERROR(__xludf.DUMMYFUNCTION("""COMPUTED_VALUE"""),"K")</f>
        <v>K</v>
      </c>
      <c r="S131" s="8" t="s">
        <v>20</v>
      </c>
    </row>
    <row r="132" ht="22.5" customHeight="1">
      <c r="A132" s="6">
        <v>131.0</v>
      </c>
      <c r="B132" s="9" t="str">
        <f>IFERROR(__xludf.DUMMYFUNCTION("""COMPUTED_VALUE"""),"Pemeliharaan Kendaraan Ringan Sistem Injeksi ")</f>
        <v>Pemeliharaan Kendaraan Ringan Sistem Injeksi </v>
      </c>
      <c r="C132" s="9" t="str">
        <f>IFERROR(__xludf.DUMMYFUNCTION("""COMPUTED_VALUE"""),"SMK Negeri 2 Kendari")</f>
        <v>SMK Negeri 2 Kendari</v>
      </c>
      <c r="D132" s="9"/>
      <c r="E132" s="9"/>
      <c r="F132" s="9" t="str">
        <f>IFERROR(__xludf.DUMMYFUNCTION("""COMPUTED_VALUE"""),"Muh. Rizqal Asari")</f>
        <v>Muh. Rizqal Asari</v>
      </c>
      <c r="G132" s="9" t="str">
        <f>IFERROR(__xludf.DUMMYFUNCTION("""COMPUTED_VALUE"""),"7471091106080001")</f>
        <v>7471091106080001</v>
      </c>
      <c r="H132" s="9"/>
      <c r="I132" s="9"/>
      <c r="J132" s="10" t="str">
        <f>IFERROR(__xludf.DUMMYFUNCTION("""COMPUTED_VALUE"""),"LAKI-LAKI")</f>
        <v>LAKI-LAKI</v>
      </c>
      <c r="K132" s="9" t="str">
        <f>IFERROR(__xludf.DUMMYFUNCTION("""COMPUTED_VALUE"""),"Jl. Chairil Anwar")</f>
        <v>Jl. Chairil Anwar</v>
      </c>
      <c r="L132" s="9"/>
      <c r="M132" s="9"/>
      <c r="N132" s="8" t="s">
        <v>19</v>
      </c>
      <c r="O132" s="9"/>
      <c r="P132" s="9"/>
      <c r="Q132" s="9"/>
      <c r="R132" s="10" t="str">
        <f>IFERROR(__xludf.DUMMYFUNCTION("""COMPUTED_VALUE"""),"K")</f>
        <v>K</v>
      </c>
      <c r="S132" s="8" t="s">
        <v>20</v>
      </c>
    </row>
    <row r="133" ht="22.5" customHeight="1">
      <c r="A133" s="6">
        <v>132.0</v>
      </c>
      <c r="B133" s="9" t="str">
        <f>IFERROR(__xludf.DUMMYFUNCTION("""COMPUTED_VALUE"""),"Pemeliharaan Kendaraan Ringan Sistem Injeksi ")</f>
        <v>Pemeliharaan Kendaraan Ringan Sistem Injeksi </v>
      </c>
      <c r="C133" s="9" t="str">
        <f>IFERROR(__xludf.DUMMYFUNCTION("""COMPUTED_VALUE"""),"SMK Negeri 2 Kendari")</f>
        <v>SMK Negeri 2 Kendari</v>
      </c>
      <c r="D133" s="9"/>
      <c r="E133" s="9"/>
      <c r="F133" s="9" t="str">
        <f>IFERROR(__xludf.DUMMYFUNCTION("""COMPUTED_VALUE"""),"Ragil Handika Ramadhan")</f>
        <v>Ragil Handika Ramadhan</v>
      </c>
      <c r="G133" s="9" t="str">
        <f>IFERROR(__xludf.DUMMYFUNCTION("""COMPUTED_VALUE"""),"7403230110070002")</f>
        <v>7403230110070002</v>
      </c>
      <c r="H133" s="9"/>
      <c r="I133" s="9"/>
      <c r="J133" s="10" t="str">
        <f>IFERROR(__xludf.DUMMYFUNCTION("""COMPUTED_VALUE"""),"LAKI-LAKI")</f>
        <v>LAKI-LAKI</v>
      </c>
      <c r="K133" s="9" t="str">
        <f>IFERROR(__xludf.DUMMYFUNCTION("""COMPUTED_VALUE"""),"-")</f>
        <v>-</v>
      </c>
      <c r="L133" s="9"/>
      <c r="M133" s="9"/>
      <c r="N133" s="8" t="s">
        <v>19</v>
      </c>
      <c r="O133" s="9"/>
      <c r="P133" s="9"/>
      <c r="Q133" s="9"/>
      <c r="R133" s="10" t="str">
        <f>IFERROR(__xludf.DUMMYFUNCTION("""COMPUTED_VALUE"""),"K")</f>
        <v>K</v>
      </c>
      <c r="S133" s="8" t="s">
        <v>20</v>
      </c>
    </row>
    <row r="134" ht="22.5" customHeight="1">
      <c r="A134" s="6">
        <v>133.0</v>
      </c>
      <c r="B134" s="9" t="str">
        <f>IFERROR(__xludf.DUMMYFUNCTION("""COMPUTED_VALUE"""),"Pemeliharaan Kendaraan Ringan Sistem Injeksi ")</f>
        <v>Pemeliharaan Kendaraan Ringan Sistem Injeksi </v>
      </c>
      <c r="C134" s="9" t="str">
        <f>IFERROR(__xludf.DUMMYFUNCTION("""COMPUTED_VALUE"""),"SMK Negeri 2 Kendari")</f>
        <v>SMK Negeri 2 Kendari</v>
      </c>
      <c r="D134" s="9"/>
      <c r="E134" s="9"/>
      <c r="F134" s="9" t="str">
        <f>IFERROR(__xludf.DUMMYFUNCTION("""COMPUTED_VALUE"""),"Rainhard Moses")</f>
        <v>Rainhard Moses</v>
      </c>
      <c r="G134" s="9" t="str">
        <f>IFERROR(__xludf.DUMMYFUNCTION("""COMPUTED_VALUE"""),"7471072401080001")</f>
        <v>7471072401080001</v>
      </c>
      <c r="H134" s="9"/>
      <c r="I134" s="9"/>
      <c r="J134" s="10" t="str">
        <f>IFERROR(__xludf.DUMMYFUNCTION("""COMPUTED_VALUE"""),"LAKI-LAKI")</f>
        <v>LAKI-LAKI</v>
      </c>
      <c r="K134" s="9" t="str">
        <f>IFERROR(__xludf.DUMMYFUNCTION("""COMPUTED_VALUE"""),"Jl. Dr. Sutomo, Lalodati")</f>
        <v>Jl. Dr. Sutomo, Lalodati</v>
      </c>
      <c r="L134" s="9"/>
      <c r="M134" s="9"/>
      <c r="N134" s="8" t="s">
        <v>19</v>
      </c>
      <c r="O134" s="9"/>
      <c r="P134" s="9"/>
      <c r="Q134" s="9"/>
      <c r="R134" s="10" t="str">
        <f>IFERROR(__xludf.DUMMYFUNCTION("""COMPUTED_VALUE"""),"K")</f>
        <v>K</v>
      </c>
      <c r="S134" s="8" t="s">
        <v>20</v>
      </c>
    </row>
    <row r="135" ht="22.5" customHeight="1">
      <c r="A135" s="6">
        <v>134.0</v>
      </c>
      <c r="B135" s="9" t="str">
        <f>IFERROR(__xludf.DUMMYFUNCTION("""COMPUTED_VALUE"""),"Pemeliharaan Kendaraan Ringan Sistem Injeksi ")</f>
        <v>Pemeliharaan Kendaraan Ringan Sistem Injeksi </v>
      </c>
      <c r="C135" s="9" t="str">
        <f>IFERROR(__xludf.DUMMYFUNCTION("""COMPUTED_VALUE"""),"SMK Negeri 2 Kendari")</f>
        <v>SMK Negeri 2 Kendari</v>
      </c>
      <c r="D135" s="9"/>
      <c r="E135" s="9"/>
      <c r="F135" s="9" t="str">
        <f>IFERROR(__xludf.DUMMYFUNCTION("""COMPUTED_VALUE"""),"Rayhan Jalalluddin")</f>
        <v>Rayhan Jalalluddin</v>
      </c>
      <c r="G135" s="9" t="str">
        <f>IFERROR(__xludf.DUMMYFUNCTION("""COMPUTED_VALUE"""),"7471022511070001")</f>
        <v>7471022511070001</v>
      </c>
      <c r="H135" s="9"/>
      <c r="I135" s="9"/>
      <c r="J135" s="10" t="str">
        <f>IFERROR(__xludf.DUMMYFUNCTION("""COMPUTED_VALUE"""),"LAKI-LAKI")</f>
        <v>LAKI-LAKI</v>
      </c>
      <c r="K135" s="9" t="str">
        <f>IFERROR(__xludf.DUMMYFUNCTION("""COMPUTED_VALUE"""),"Kendari, Kelurahan Gunung Jati")</f>
        <v>Kendari, Kelurahan Gunung Jati</v>
      </c>
      <c r="L135" s="9"/>
      <c r="M135" s="9"/>
      <c r="N135" s="8" t="s">
        <v>19</v>
      </c>
      <c r="O135" s="9"/>
      <c r="P135" s="9"/>
      <c r="Q135" s="9"/>
      <c r="R135" s="10" t="str">
        <f>IFERROR(__xludf.DUMMYFUNCTION("""COMPUTED_VALUE"""),"K")</f>
        <v>K</v>
      </c>
      <c r="S135" s="9"/>
    </row>
    <row r="136" ht="22.5" customHeight="1">
      <c r="A136" s="6">
        <v>135.0</v>
      </c>
      <c r="B136" s="9" t="str">
        <f>IFERROR(__xludf.DUMMYFUNCTION("""COMPUTED_VALUE"""),"Pemeliharaan Kendaraan Ringan Sistem Injeksi ")</f>
        <v>Pemeliharaan Kendaraan Ringan Sistem Injeksi </v>
      </c>
      <c r="C136" s="9" t="str">
        <f>IFERROR(__xludf.DUMMYFUNCTION("""COMPUTED_VALUE"""),"SMK Negeri 2 Kendari")</f>
        <v>SMK Negeri 2 Kendari</v>
      </c>
      <c r="D136" s="9"/>
      <c r="E136" s="9"/>
      <c r="F136" s="9" t="str">
        <f>IFERROR(__xludf.DUMMYFUNCTION("""COMPUTED_VALUE"""),"Tara Aprilia Adiananta")</f>
        <v>Tara Aprilia Adiananta</v>
      </c>
      <c r="G136" s="9" t="str">
        <f>IFERROR(__xludf.DUMMYFUNCTION("""COMPUTED_VALUE"""),"3507274804080002")</f>
        <v>3507274804080002</v>
      </c>
      <c r="H136" s="9"/>
      <c r="I136" s="9"/>
      <c r="J136" s="10" t="str">
        <f>IFERROR(__xludf.DUMMYFUNCTION("""COMPUTED_VALUE"""),"PEREMPUAN")</f>
        <v>PEREMPUAN</v>
      </c>
      <c r="K136" s="9" t="str">
        <f>IFERROR(__xludf.DUMMYFUNCTION("""COMPUTED_VALUE"""),"Jl. Singa II No. 4")</f>
        <v>Jl. Singa II No. 4</v>
      </c>
      <c r="L136" s="9"/>
      <c r="M136" s="9"/>
      <c r="N136" s="8" t="s">
        <v>19</v>
      </c>
      <c r="O136" s="9"/>
      <c r="P136" s="9"/>
      <c r="Q136" s="9"/>
      <c r="R136" s="10" t="str">
        <f>IFERROR(__xludf.DUMMYFUNCTION("""COMPUTED_VALUE"""),"K")</f>
        <v>K</v>
      </c>
      <c r="S136" s="9"/>
    </row>
    <row r="137" ht="22.5" customHeight="1">
      <c r="A137" s="6">
        <v>136.0</v>
      </c>
      <c r="B137" s="9" t="str">
        <f>IFERROR(__xludf.DUMMYFUNCTION("""COMPUTED_VALUE"""),"Pemeliharaan Kendaraan Ringan Sistem Injeksi ")</f>
        <v>Pemeliharaan Kendaraan Ringan Sistem Injeksi </v>
      </c>
      <c r="C137" s="9" t="str">
        <f>IFERROR(__xludf.DUMMYFUNCTION("""COMPUTED_VALUE"""),"SMK Negeri 2 Kendari")</f>
        <v>SMK Negeri 2 Kendari</v>
      </c>
      <c r="D137" s="9"/>
      <c r="E137" s="9"/>
      <c r="F137" s="9" t="str">
        <f>IFERROR(__xludf.DUMMYFUNCTION("""COMPUTED_VALUE"""),"Tesar Arlan Aprianto")</f>
        <v>Tesar Arlan Aprianto</v>
      </c>
      <c r="G137" s="9" t="str">
        <f>IFERROR(__xludf.DUMMYFUNCTION("""COMPUTED_VALUE"""),"7471091804080002")</f>
        <v>7471091804080002</v>
      </c>
      <c r="H137" s="9"/>
      <c r="I137" s="9"/>
      <c r="J137" s="10" t="str">
        <f>IFERROR(__xludf.DUMMYFUNCTION("""COMPUTED_VALUE"""),"LAKI-LAKI")</f>
        <v>LAKI-LAKI</v>
      </c>
      <c r="K137" s="9" t="str">
        <f>IFERROR(__xludf.DUMMYFUNCTION("""COMPUTED_VALUE"""),"Jl. Haeba Dalam Lr. Mesjid Nurul Haq")</f>
        <v>Jl. Haeba Dalam Lr. Mesjid Nurul Haq</v>
      </c>
      <c r="L137" s="9"/>
      <c r="M137" s="9"/>
      <c r="N137" s="8" t="s">
        <v>19</v>
      </c>
      <c r="O137" s="9"/>
      <c r="P137" s="9"/>
      <c r="Q137" s="9"/>
      <c r="R137" s="10" t="str">
        <f>IFERROR(__xludf.DUMMYFUNCTION("""COMPUTED_VALUE"""),"K")</f>
        <v>K</v>
      </c>
      <c r="S137" s="9"/>
    </row>
    <row r="138" ht="22.5" customHeight="1">
      <c r="A138" s="6">
        <v>137.0</v>
      </c>
      <c r="B138" s="9" t="str">
        <f>IFERROR(__xludf.DUMMYFUNCTION("""COMPUTED_VALUE"""),"Pemeliharaan Kendaraan Ringan Sistem Injeksi ")</f>
        <v>Pemeliharaan Kendaraan Ringan Sistem Injeksi </v>
      </c>
      <c r="C138" s="9" t="str">
        <f>IFERROR(__xludf.DUMMYFUNCTION("""COMPUTED_VALUE"""),"SMK Negeri 2 Kendari")</f>
        <v>SMK Negeri 2 Kendari</v>
      </c>
      <c r="D138" s="9"/>
      <c r="E138" s="9"/>
      <c r="F138" s="9" t="str">
        <f>IFERROR(__xludf.DUMMYFUNCTION("""COMPUTED_VALUE"""),"Vebro Valentino Ilmart")</f>
        <v>Vebro Valentino Ilmart</v>
      </c>
      <c r="G138" s="9" t="str">
        <f>IFERROR(__xludf.DUMMYFUNCTION("""COMPUTED_VALUE"""),"7324101302080002")</f>
        <v>7324101302080002</v>
      </c>
      <c r="H138" s="9"/>
      <c r="I138" s="9"/>
      <c r="J138" s="10" t="str">
        <f>IFERROR(__xludf.DUMMYFUNCTION("""COMPUTED_VALUE"""),"LAKI-LAKI")</f>
        <v>LAKI-LAKI</v>
      </c>
      <c r="K138" s="9" t="str">
        <f>IFERROR(__xludf.DUMMYFUNCTION("""COMPUTED_VALUE"""),"Kendari, Kelurahan Wua-wua, Kec. Kadia")</f>
        <v>Kendari, Kelurahan Wua-wua, Kec. Kadia</v>
      </c>
      <c r="L138" s="9"/>
      <c r="M138" s="9"/>
      <c r="N138" s="8" t="s">
        <v>19</v>
      </c>
      <c r="O138" s="9"/>
      <c r="P138" s="9"/>
      <c r="Q138" s="9"/>
      <c r="R138" s="10" t="str">
        <f>IFERROR(__xludf.DUMMYFUNCTION("""COMPUTED_VALUE"""),"K")</f>
        <v>K</v>
      </c>
      <c r="S138" s="9"/>
    </row>
    <row r="139" ht="22.5" customHeight="1">
      <c r="A139" s="6">
        <v>138.0</v>
      </c>
      <c r="B139" s="9" t="str">
        <f>IFERROR(__xludf.DUMMYFUNCTION("""COMPUTED_VALUE"""),"Pemeliharaan Kendaraan Ringan Sistem Injeksi ")</f>
        <v>Pemeliharaan Kendaraan Ringan Sistem Injeksi </v>
      </c>
      <c r="C139" s="9" t="str">
        <f>IFERROR(__xludf.DUMMYFUNCTION("""COMPUTED_VALUE"""),"SMK Negeri 2 Kendari")</f>
        <v>SMK Negeri 2 Kendari</v>
      </c>
      <c r="D139" s="9"/>
      <c r="E139" s="9"/>
      <c r="F139" s="9" t="str">
        <f>IFERROR(__xludf.DUMMYFUNCTION("""COMPUTED_VALUE"""),"Wayan Glen Andika")</f>
        <v>Wayan Glen Andika</v>
      </c>
      <c r="G139" s="9" t="str">
        <f>IFERROR(__xludf.DUMMYFUNCTION("""COMPUTED_VALUE"""),"7402282509080002")</f>
        <v>7402282509080002</v>
      </c>
      <c r="H139" s="9"/>
      <c r="I139" s="9"/>
      <c r="J139" s="10" t="str">
        <f>IFERROR(__xludf.DUMMYFUNCTION("""COMPUTED_VALUE"""),"LAKI-LAKI")</f>
        <v>LAKI-LAKI</v>
      </c>
      <c r="K139" s="9" t="str">
        <f>IFERROR(__xludf.DUMMYFUNCTION("""COMPUTED_VALUE"""),"Desa Ulu Benua, Kecamatan Amonggedo, Kabupaten Konawe")</f>
        <v>Desa Ulu Benua, Kecamatan Amonggedo, Kabupaten Konawe</v>
      </c>
      <c r="L139" s="9"/>
      <c r="M139" s="9"/>
      <c r="N139" s="8" t="s">
        <v>19</v>
      </c>
      <c r="O139" s="9"/>
      <c r="P139" s="9"/>
      <c r="Q139" s="9"/>
      <c r="R139" s="10" t="str">
        <f>IFERROR(__xludf.DUMMYFUNCTION("""COMPUTED_VALUE"""),"K")</f>
        <v>K</v>
      </c>
      <c r="S139" s="9"/>
    </row>
    <row r="140" ht="22.5" customHeight="1">
      <c r="A140" s="6">
        <v>139.0</v>
      </c>
      <c r="B140" s="9" t="str">
        <f>IFERROR(__xludf.DUMMYFUNCTION("""COMPUTED_VALUE"""),"Pemeliharaan Kendaraan Ringan Sistem Injeksi ")</f>
        <v>Pemeliharaan Kendaraan Ringan Sistem Injeksi </v>
      </c>
      <c r="C140" s="9" t="str">
        <f>IFERROR(__xludf.DUMMYFUNCTION("""COMPUTED_VALUE"""),"SMK Negeri 2 Kendari")</f>
        <v>SMK Negeri 2 Kendari</v>
      </c>
      <c r="D140" s="9"/>
      <c r="E140" s="9"/>
      <c r="F140" s="9" t="str">
        <f>IFERROR(__xludf.DUMMYFUNCTION("""COMPUTED_VALUE"""),"Wayan Winarta")</f>
        <v>Wayan Winarta</v>
      </c>
      <c r="G140" s="9" t="str">
        <f>IFERROR(__xludf.DUMMYFUNCTION("""COMPUTED_VALUE"""),"7402280308080001")</f>
        <v>7402280308080001</v>
      </c>
      <c r="H140" s="9"/>
      <c r="I140" s="9"/>
      <c r="J140" s="10" t="str">
        <f>IFERROR(__xludf.DUMMYFUNCTION("""COMPUTED_VALUE"""),"LAKI-LAKI")</f>
        <v>LAKI-LAKI</v>
      </c>
      <c r="K140" s="9" t="str">
        <f>IFERROR(__xludf.DUMMYFUNCTION("""COMPUTED_VALUE"""),"Puasana")</f>
        <v>Puasana</v>
      </c>
      <c r="L140" s="9"/>
      <c r="M140" s="9"/>
      <c r="N140" s="8" t="s">
        <v>19</v>
      </c>
      <c r="O140" s="9"/>
      <c r="P140" s="9"/>
      <c r="Q140" s="9"/>
      <c r="R140" s="10" t="str">
        <f>IFERROR(__xludf.DUMMYFUNCTION("""COMPUTED_VALUE"""),"K")</f>
        <v>K</v>
      </c>
      <c r="S140" s="9"/>
    </row>
    <row r="141" ht="22.5" customHeight="1">
      <c r="A141" s="6">
        <v>140.0</v>
      </c>
      <c r="B141" s="9" t="str">
        <f>IFERROR(__xludf.DUMMYFUNCTION("""COMPUTED_VALUE"""),"Pemeliharaan Kendaraan Ringan Sistem Injeksi ")</f>
        <v>Pemeliharaan Kendaraan Ringan Sistem Injeksi </v>
      </c>
      <c r="C141" s="9" t="str">
        <f>IFERROR(__xludf.DUMMYFUNCTION("""COMPUTED_VALUE"""),"SMK Negeri 2 Kendari")</f>
        <v>SMK Negeri 2 Kendari</v>
      </c>
      <c r="D141" s="9"/>
      <c r="E141" s="9"/>
      <c r="F141" s="9" t="str">
        <f>IFERROR(__xludf.DUMMYFUNCTION("""COMPUTED_VALUE"""),"William Patiung")</f>
        <v>William Patiung</v>
      </c>
      <c r="G141" s="9" t="str">
        <f>IFERROR(__xludf.DUMMYFUNCTION("""COMPUTED_VALUE"""),"9103112201080001")</f>
        <v>9103112201080001</v>
      </c>
      <c r="H141" s="9"/>
      <c r="I141" s="9"/>
      <c r="J141" s="10" t="str">
        <f>IFERROR(__xludf.DUMMYFUNCTION("""COMPUTED_VALUE"""),"LAKI-LAKI")</f>
        <v>LAKI-LAKI</v>
      </c>
      <c r="K141" s="9" t="str">
        <f>IFERROR(__xludf.DUMMYFUNCTION("""COMPUTED_VALUE"""),"Perum Pradana Residence IX")</f>
        <v>Perum Pradana Residence IX</v>
      </c>
      <c r="L141" s="9"/>
      <c r="M141" s="9"/>
      <c r="N141" s="8" t="s">
        <v>19</v>
      </c>
      <c r="O141" s="9"/>
      <c r="P141" s="9"/>
      <c r="Q141" s="9"/>
      <c r="R141" s="10" t="str">
        <f>IFERROR(__xludf.DUMMYFUNCTION("""COMPUTED_VALUE"""),"K")</f>
        <v>K</v>
      </c>
      <c r="S141" s="9"/>
    </row>
    <row r="142" ht="22.5" customHeight="1">
      <c r="A142" s="6">
        <v>141.0</v>
      </c>
      <c r="B142" s="9" t="str">
        <f>IFERROR(__xludf.DUMMYFUNCTION("""COMPUTED_VALUE"""),"Merakit Komponen Fabrikasi")</f>
        <v>Merakit Komponen Fabrikasi</v>
      </c>
      <c r="C142" s="9" t="str">
        <f>IFERROR(__xludf.DUMMYFUNCTION("""COMPUTED_VALUE"""),"SMK Negeri 2 Kendari")</f>
        <v>SMK Negeri 2 Kendari</v>
      </c>
      <c r="D142" s="9"/>
      <c r="E142" s="9"/>
      <c r="F142" s="9" t="str">
        <f>IFERROR(__xludf.DUMMYFUNCTION("""COMPUTED_VALUE"""),"Abdul Farras Hazim")</f>
        <v>Abdul Farras Hazim</v>
      </c>
      <c r="G142" s="9" t="str">
        <f>IFERROR(__xludf.DUMMYFUNCTION("""COMPUTED_VALUE"""),"7471070807080001")</f>
        <v>7471070807080001</v>
      </c>
      <c r="H142" s="9"/>
      <c r="I142" s="9"/>
      <c r="J142" s="10" t="str">
        <f>IFERROR(__xludf.DUMMYFUNCTION("""COMPUTED_VALUE"""),"LAKI-LAKI")</f>
        <v>LAKI-LAKI</v>
      </c>
      <c r="K142" s="9" t="str">
        <f>IFERROR(__xludf.DUMMYFUNCTION("""COMPUTED_VALUE"""),"Jl. Dr. Sutomo Kel. Lalodati, Kec. Puuwatu")</f>
        <v>Jl. Dr. Sutomo Kel. Lalodati, Kec. Puuwatu</v>
      </c>
      <c r="L142" s="9"/>
      <c r="M142" s="9"/>
      <c r="N142" s="8" t="s">
        <v>19</v>
      </c>
      <c r="O142" s="9"/>
      <c r="P142" s="9"/>
      <c r="Q142" s="9"/>
      <c r="R142" s="10" t="str">
        <f>IFERROR(__xludf.DUMMYFUNCTION("""COMPUTED_VALUE"""),"BK")</f>
        <v>BK</v>
      </c>
      <c r="S142" s="9"/>
    </row>
    <row r="143" ht="22.5" customHeight="1">
      <c r="A143" s="6">
        <v>142.0</v>
      </c>
      <c r="B143" s="9" t="str">
        <f>IFERROR(__xludf.DUMMYFUNCTION("""COMPUTED_VALUE"""),"Merakit Komponen Fabrikasi")</f>
        <v>Merakit Komponen Fabrikasi</v>
      </c>
      <c r="C143" s="9" t="str">
        <f>IFERROR(__xludf.DUMMYFUNCTION("""COMPUTED_VALUE"""),"SMK Negeri 2 Kendari")</f>
        <v>SMK Negeri 2 Kendari</v>
      </c>
      <c r="D143" s="9"/>
      <c r="E143" s="9"/>
      <c r="F143" s="9" t="str">
        <f>IFERROR(__xludf.DUMMYFUNCTION("""COMPUTED_VALUE"""),"Afiq Multazam")</f>
        <v>Afiq Multazam</v>
      </c>
      <c r="G143" s="9" t="str">
        <f>IFERROR(__xludf.DUMMYFUNCTION("""COMPUTED_VALUE"""),"7471100409080001")</f>
        <v>7471100409080001</v>
      </c>
      <c r="H143" s="9"/>
      <c r="I143" s="9"/>
      <c r="J143" s="10" t="str">
        <f>IFERROR(__xludf.DUMMYFUNCTION("""COMPUTED_VALUE"""),"LAKI-LAKI")</f>
        <v>LAKI-LAKI</v>
      </c>
      <c r="K143" s="9" t="str">
        <f>IFERROR(__xludf.DUMMYFUNCTION("""COMPUTED_VALUE"""),"Jl. H.E.A Mokodompit Lrg. Mata Air I")</f>
        <v>Jl. H.E.A Mokodompit Lrg. Mata Air I</v>
      </c>
      <c r="L143" s="9"/>
      <c r="M143" s="9"/>
      <c r="N143" s="8" t="s">
        <v>19</v>
      </c>
      <c r="O143" s="9"/>
      <c r="P143" s="9"/>
      <c r="Q143" s="9"/>
      <c r="R143" s="10" t="str">
        <f>IFERROR(__xludf.DUMMYFUNCTION("""COMPUTED_VALUE"""),"BK")</f>
        <v>BK</v>
      </c>
      <c r="S143" s="9"/>
    </row>
    <row r="144" ht="22.5" customHeight="1">
      <c r="A144" s="6">
        <v>143.0</v>
      </c>
      <c r="B144" s="9" t="str">
        <f>IFERROR(__xludf.DUMMYFUNCTION("""COMPUTED_VALUE"""),"Merakit Komponen Fabrikasi")</f>
        <v>Merakit Komponen Fabrikasi</v>
      </c>
      <c r="C144" s="9" t="str">
        <f>IFERROR(__xludf.DUMMYFUNCTION("""COMPUTED_VALUE"""),"SMK Negeri 2 Kendari")</f>
        <v>SMK Negeri 2 Kendari</v>
      </c>
      <c r="D144" s="9"/>
      <c r="E144" s="9"/>
      <c r="F144" s="9" t="str">
        <f>IFERROR(__xludf.DUMMYFUNCTION("""COMPUTED_VALUE"""),"Ahmad Dayun")</f>
        <v>Ahmad Dayun</v>
      </c>
      <c r="G144" s="9" t="str">
        <f>IFERROR(__xludf.DUMMYFUNCTION("""COMPUTED_VALUE"""),"7403211707080001")</f>
        <v>7403211707080001</v>
      </c>
      <c r="H144" s="9"/>
      <c r="I144" s="9"/>
      <c r="J144" s="10" t="str">
        <f>IFERROR(__xludf.DUMMYFUNCTION("""COMPUTED_VALUE"""),"LAKI-LAKI")</f>
        <v>LAKI-LAKI</v>
      </c>
      <c r="K144" s="9" t="str">
        <f>IFERROR(__xludf.DUMMYFUNCTION("""COMPUTED_VALUE"""),"Jl. Malaka Kel. Kambu")</f>
        <v>Jl. Malaka Kel. Kambu</v>
      </c>
      <c r="L144" s="9"/>
      <c r="M144" s="9"/>
      <c r="N144" s="8" t="s">
        <v>19</v>
      </c>
      <c r="O144" s="9"/>
      <c r="P144" s="9"/>
      <c r="Q144" s="9"/>
      <c r="R144" s="10" t="str">
        <f>IFERROR(__xludf.DUMMYFUNCTION("""COMPUTED_VALUE"""),"BK")</f>
        <v>BK</v>
      </c>
      <c r="S144" s="9"/>
    </row>
    <row r="145" ht="22.5" customHeight="1">
      <c r="A145" s="6">
        <v>144.0</v>
      </c>
      <c r="B145" s="9" t="str">
        <f>IFERROR(__xludf.DUMMYFUNCTION("""COMPUTED_VALUE"""),"Merakit Komponen Fabrikasi")</f>
        <v>Merakit Komponen Fabrikasi</v>
      </c>
      <c r="C145" s="9" t="str">
        <f>IFERROR(__xludf.DUMMYFUNCTION("""COMPUTED_VALUE"""),"SMK Negeri 2 Kendari")</f>
        <v>SMK Negeri 2 Kendari</v>
      </c>
      <c r="D145" s="9"/>
      <c r="E145" s="9"/>
      <c r="F145" s="9" t="str">
        <f>IFERROR(__xludf.DUMMYFUNCTION("""COMPUTED_VALUE"""),"Alif Shafwana Yehan")</f>
        <v>Alif Shafwana Yehan</v>
      </c>
      <c r="G145" s="9" t="str">
        <f>IFERROR(__xludf.DUMMYFUNCTION("""COMPUTED_VALUE"""),"7471092605080002")</f>
        <v>7471092605080002</v>
      </c>
      <c r="H145" s="9"/>
      <c r="I145" s="9"/>
      <c r="J145" s="10" t="str">
        <f>IFERROR(__xludf.DUMMYFUNCTION("""COMPUTED_VALUE"""),"LAKI-LAKI")</f>
        <v>LAKI-LAKI</v>
      </c>
      <c r="K145" s="9" t="str">
        <f>IFERROR(__xludf.DUMMYFUNCTION("""COMPUTED_VALUE"""),"Jl. Chairil Anwar No. 73")</f>
        <v>Jl. Chairil Anwar No. 73</v>
      </c>
      <c r="L145" s="9"/>
      <c r="M145" s="9"/>
      <c r="N145" s="8" t="s">
        <v>19</v>
      </c>
      <c r="O145" s="9"/>
      <c r="P145" s="9"/>
      <c r="Q145" s="9"/>
      <c r="R145" s="10" t="str">
        <f>IFERROR(__xludf.DUMMYFUNCTION("""COMPUTED_VALUE"""),"BK")</f>
        <v>BK</v>
      </c>
      <c r="S145" s="9"/>
    </row>
    <row r="146" ht="22.5" customHeight="1">
      <c r="A146" s="6">
        <v>145.0</v>
      </c>
      <c r="B146" s="9" t="str">
        <f>IFERROR(__xludf.DUMMYFUNCTION("""COMPUTED_VALUE"""),"Merakit Komponen Fabrikasi")</f>
        <v>Merakit Komponen Fabrikasi</v>
      </c>
      <c r="C146" s="9" t="str">
        <f>IFERROR(__xludf.DUMMYFUNCTION("""COMPUTED_VALUE"""),"SMK Negeri 2 Kendari")</f>
        <v>SMK Negeri 2 Kendari</v>
      </c>
      <c r="D146" s="9"/>
      <c r="E146" s="9"/>
      <c r="F146" s="9" t="str">
        <f>IFERROR(__xludf.DUMMYFUNCTION("""COMPUTED_VALUE"""),"Alsition")</f>
        <v>Alsition</v>
      </c>
      <c r="G146" s="9" t="str">
        <f>IFERROR(__xludf.DUMMYFUNCTION("""COMPUTED_VALUE"""),"7403260110070001")</f>
        <v>7403260110070001</v>
      </c>
      <c r="H146" s="9"/>
      <c r="I146" s="9"/>
      <c r="J146" s="10" t="str">
        <f>IFERROR(__xludf.DUMMYFUNCTION("""COMPUTED_VALUE"""),"LAKI-LAKI")</f>
        <v>LAKI-LAKI</v>
      </c>
      <c r="K146" s="9" t="str">
        <f>IFERROR(__xludf.DUMMYFUNCTION("""COMPUTED_VALUE"""),"Oelongko")</f>
        <v>Oelongko</v>
      </c>
      <c r="L146" s="9"/>
      <c r="M146" s="9"/>
      <c r="N146" s="8" t="s">
        <v>19</v>
      </c>
      <c r="O146" s="9"/>
      <c r="P146" s="9"/>
      <c r="Q146" s="9"/>
      <c r="R146" s="10" t="str">
        <f>IFERROR(__xludf.DUMMYFUNCTION("""COMPUTED_VALUE"""),"K")</f>
        <v>K</v>
      </c>
      <c r="S146" s="9"/>
    </row>
    <row r="147" ht="22.5" customHeight="1">
      <c r="A147" s="6">
        <v>146.0</v>
      </c>
      <c r="B147" s="9" t="str">
        <f>IFERROR(__xludf.DUMMYFUNCTION("""COMPUTED_VALUE"""),"Merakit Komponen Fabrikasi")</f>
        <v>Merakit Komponen Fabrikasi</v>
      </c>
      <c r="C147" s="9" t="str">
        <f>IFERROR(__xludf.DUMMYFUNCTION("""COMPUTED_VALUE"""),"SMK Negeri 2 Kendari")</f>
        <v>SMK Negeri 2 Kendari</v>
      </c>
      <c r="D147" s="9"/>
      <c r="E147" s="9"/>
      <c r="F147" s="9" t="str">
        <f>IFERROR(__xludf.DUMMYFUNCTION("""COMPUTED_VALUE"""),"Alwadi")</f>
        <v>Alwadi</v>
      </c>
      <c r="G147" s="9" t="str">
        <f>IFERROR(__xludf.DUMMYFUNCTION("""COMPUTED_VALUE"""),"7471060202070003")</f>
        <v>7471060202070003</v>
      </c>
      <c r="H147" s="9"/>
      <c r="I147" s="9"/>
      <c r="J147" s="10" t="str">
        <f>IFERROR(__xludf.DUMMYFUNCTION("""COMPUTED_VALUE"""),"LAKI-LAKI")</f>
        <v>LAKI-LAKI</v>
      </c>
      <c r="K147" s="9" t="str">
        <f>IFERROR(__xludf.DUMMYFUNCTION("""COMPUTED_VALUE"""),"Talia")</f>
        <v>Talia</v>
      </c>
      <c r="L147" s="9"/>
      <c r="M147" s="9"/>
      <c r="N147" s="8" t="s">
        <v>19</v>
      </c>
      <c r="O147" s="9"/>
      <c r="P147" s="9"/>
      <c r="Q147" s="9"/>
      <c r="R147" s="10" t="str">
        <f>IFERROR(__xludf.DUMMYFUNCTION("""COMPUTED_VALUE"""),"K")</f>
        <v>K</v>
      </c>
      <c r="S147" s="9"/>
    </row>
    <row r="148" ht="22.5" customHeight="1">
      <c r="A148" s="6">
        <v>147.0</v>
      </c>
      <c r="B148" s="9" t="str">
        <f>IFERROR(__xludf.DUMMYFUNCTION("""COMPUTED_VALUE"""),"Merakit Komponen Fabrikasi")</f>
        <v>Merakit Komponen Fabrikasi</v>
      </c>
      <c r="C148" s="9" t="str">
        <f>IFERROR(__xludf.DUMMYFUNCTION("""COMPUTED_VALUE"""),"SMK Negeri 2 Kendari")</f>
        <v>SMK Negeri 2 Kendari</v>
      </c>
      <c r="D148" s="9"/>
      <c r="E148" s="9"/>
      <c r="F148" s="9" t="str">
        <f>IFERROR(__xludf.DUMMYFUNCTION("""COMPUTED_VALUE"""),"Andi Ahmad Pramana Ansar")</f>
        <v>Andi Ahmad Pramana Ansar</v>
      </c>
      <c r="G148" s="9" t="str">
        <f>IFERROR(__xludf.DUMMYFUNCTION("""COMPUTED_VALUE"""),"7471051705080004")</f>
        <v>7471051705080004</v>
      </c>
      <c r="H148" s="9"/>
      <c r="I148" s="9"/>
      <c r="J148" s="10" t="str">
        <f>IFERROR(__xludf.DUMMYFUNCTION("""COMPUTED_VALUE"""),"LAKI-LAKI")</f>
        <v>LAKI-LAKI</v>
      </c>
      <c r="K148" s="9" t="str">
        <f>IFERROR(__xludf.DUMMYFUNCTION("""COMPUTED_VALUE"""),"Jl. Titang No 4")</f>
        <v>Jl. Titang No 4</v>
      </c>
      <c r="L148" s="9"/>
      <c r="M148" s="9"/>
      <c r="N148" s="8" t="s">
        <v>19</v>
      </c>
      <c r="O148" s="9"/>
      <c r="P148" s="9"/>
      <c r="Q148" s="9"/>
      <c r="R148" s="10" t="str">
        <f>IFERROR(__xludf.DUMMYFUNCTION("""COMPUTED_VALUE"""),"K")</f>
        <v>K</v>
      </c>
      <c r="S148" s="9"/>
    </row>
    <row r="149" ht="22.5" customHeight="1">
      <c r="A149" s="6">
        <v>148.0</v>
      </c>
      <c r="B149" s="9" t="str">
        <f>IFERROR(__xludf.DUMMYFUNCTION("""COMPUTED_VALUE"""),"Merakit Komponen Fabrikasi")</f>
        <v>Merakit Komponen Fabrikasi</v>
      </c>
      <c r="C149" s="9" t="str">
        <f>IFERROR(__xludf.DUMMYFUNCTION("""COMPUTED_VALUE"""),"SMK Negeri 2 Kendari")</f>
        <v>SMK Negeri 2 Kendari</v>
      </c>
      <c r="D149" s="9"/>
      <c r="E149" s="9"/>
      <c r="F149" s="9" t="str">
        <f>IFERROR(__xludf.DUMMYFUNCTION("""COMPUTED_VALUE"""),"Dilzhad Dwi Apriyadi")</f>
        <v>Dilzhad Dwi Apriyadi</v>
      </c>
      <c r="G149" s="9" t="str">
        <f>IFERROR(__xludf.DUMMYFUNCTION("""COMPUTED_VALUE"""),"7471060404080004")</f>
        <v>7471060404080004</v>
      </c>
      <c r="H149" s="9"/>
      <c r="I149" s="9"/>
      <c r="J149" s="10" t="str">
        <f>IFERROR(__xludf.DUMMYFUNCTION("""COMPUTED_VALUE"""),"LAKI-LAKI")</f>
        <v>LAKI-LAKI</v>
      </c>
      <c r="K149" s="9" t="str">
        <f>IFERROR(__xludf.DUMMYFUNCTION("""COMPUTED_VALUE"""),"Kel. Anggalomelai, RT 09/RW 05, Kec. Abeli")</f>
        <v>Kel. Anggalomelai, RT 09/RW 05, Kec. Abeli</v>
      </c>
      <c r="L149" s="9"/>
      <c r="M149" s="9"/>
      <c r="N149" s="8" t="s">
        <v>19</v>
      </c>
      <c r="O149" s="9"/>
      <c r="P149" s="9"/>
      <c r="Q149" s="9"/>
      <c r="R149" s="10" t="str">
        <f>IFERROR(__xludf.DUMMYFUNCTION("""COMPUTED_VALUE"""),"K")</f>
        <v>K</v>
      </c>
      <c r="S149" s="9"/>
    </row>
    <row r="150" ht="22.5" customHeight="1">
      <c r="A150" s="6">
        <v>149.0</v>
      </c>
      <c r="B150" s="9" t="str">
        <f>IFERROR(__xludf.DUMMYFUNCTION("""COMPUTED_VALUE"""),"Merakit Komponen Fabrikasi")</f>
        <v>Merakit Komponen Fabrikasi</v>
      </c>
      <c r="C150" s="9" t="str">
        <f>IFERROR(__xludf.DUMMYFUNCTION("""COMPUTED_VALUE"""),"SMK Negeri 2 Kendari")</f>
        <v>SMK Negeri 2 Kendari</v>
      </c>
      <c r="D150" s="9"/>
      <c r="E150" s="9"/>
      <c r="F150" s="9" t="str">
        <f>IFERROR(__xludf.DUMMYFUNCTION("""COMPUTED_VALUE"""),"Edgar Alfatsyah Laponangi")</f>
        <v>Edgar Alfatsyah Laponangi</v>
      </c>
      <c r="G150" s="9" t="str">
        <f>IFERROR(__xludf.DUMMYFUNCTION("""COMPUTED_VALUE"""),"7405041906080002")</f>
        <v>7405041906080002</v>
      </c>
      <c r="H150" s="9"/>
      <c r="I150" s="9"/>
      <c r="J150" s="10" t="str">
        <f>IFERROR(__xludf.DUMMYFUNCTION("""COMPUTED_VALUE"""),"LAKI-LAKI")</f>
        <v>LAKI-LAKI</v>
      </c>
      <c r="K150" s="9" t="str">
        <f>IFERROR(__xludf.DUMMYFUNCTION("""COMPUTED_VALUE"""),"Jln. Poros Kendari-Andoolo")</f>
        <v>Jln. Poros Kendari-Andoolo</v>
      </c>
      <c r="L150" s="9"/>
      <c r="M150" s="9"/>
      <c r="N150" s="8" t="s">
        <v>19</v>
      </c>
      <c r="O150" s="9"/>
      <c r="P150" s="9"/>
      <c r="Q150" s="9"/>
      <c r="R150" s="10" t="str">
        <f>IFERROR(__xludf.DUMMYFUNCTION("""COMPUTED_VALUE"""),"BK")</f>
        <v>BK</v>
      </c>
      <c r="S150" s="9"/>
    </row>
    <row r="151" ht="22.5" customHeight="1">
      <c r="A151" s="6">
        <v>150.0</v>
      </c>
      <c r="B151" s="9" t="str">
        <f>IFERROR(__xludf.DUMMYFUNCTION("""COMPUTED_VALUE"""),"Merakit Komponen Fabrikasi")</f>
        <v>Merakit Komponen Fabrikasi</v>
      </c>
      <c r="C151" s="9" t="str">
        <f>IFERROR(__xludf.DUMMYFUNCTION("""COMPUTED_VALUE"""),"SMK Negeri 2 Kendari")</f>
        <v>SMK Negeri 2 Kendari</v>
      </c>
      <c r="D151" s="9"/>
      <c r="E151" s="9"/>
      <c r="F151" s="9" t="str">
        <f>IFERROR(__xludf.DUMMYFUNCTION("""COMPUTED_VALUE"""),"Fardiansyah")</f>
        <v>Fardiansyah</v>
      </c>
      <c r="G151" s="9" t="str">
        <f>IFERROR(__xludf.DUMMYFUNCTION("""COMPUTED_VALUE"""),"7405012004060001")</f>
        <v>7405012004060001</v>
      </c>
      <c r="H151" s="9"/>
      <c r="I151" s="9"/>
      <c r="J151" s="10" t="str">
        <f>IFERROR(__xludf.DUMMYFUNCTION("""COMPUTED_VALUE"""),"LAKI-LAKI")</f>
        <v>LAKI-LAKI</v>
      </c>
      <c r="K151" s="9" t="str">
        <f>IFERROR(__xludf.DUMMYFUNCTION("""COMPUTED_VALUE"""),"Jl. Sao-Sao, Lr. Oleo")</f>
        <v>Jl. Sao-Sao, Lr. Oleo</v>
      </c>
      <c r="L151" s="9"/>
      <c r="M151" s="9"/>
      <c r="N151" s="8" t="s">
        <v>19</v>
      </c>
      <c r="O151" s="9"/>
      <c r="P151" s="9"/>
      <c r="Q151" s="9"/>
      <c r="R151" s="10" t="str">
        <f>IFERROR(__xludf.DUMMYFUNCTION("""COMPUTED_VALUE"""),"BK")</f>
        <v>BK</v>
      </c>
      <c r="S151" s="9"/>
    </row>
    <row r="152" ht="22.5" customHeight="1">
      <c r="A152" s="6">
        <v>151.0</v>
      </c>
      <c r="B152" s="9" t="str">
        <f>IFERROR(__xludf.DUMMYFUNCTION("""COMPUTED_VALUE"""),"Merakit Komponen Fabrikasi")</f>
        <v>Merakit Komponen Fabrikasi</v>
      </c>
      <c r="C152" s="9" t="str">
        <f>IFERROR(__xludf.DUMMYFUNCTION("""COMPUTED_VALUE"""),"SMK Negeri 2 Kendari")</f>
        <v>SMK Negeri 2 Kendari</v>
      </c>
      <c r="D152" s="9"/>
      <c r="E152" s="9"/>
      <c r="F152" s="9" t="str">
        <f>IFERROR(__xludf.DUMMYFUNCTION("""COMPUTED_VALUE"""),"Fernando Ramli")</f>
        <v>Fernando Ramli</v>
      </c>
      <c r="G152" s="9" t="str">
        <f>IFERROR(__xludf.DUMMYFUNCTION("""COMPUTED_VALUE"""),"7405012004060001")</f>
        <v>7405012004060001</v>
      </c>
      <c r="H152" s="9"/>
      <c r="I152" s="9"/>
      <c r="J152" s="10" t="str">
        <f>IFERROR(__xludf.DUMMYFUNCTION("""COMPUTED_VALUE"""),"LAKI-LAKI")</f>
        <v>LAKI-LAKI</v>
      </c>
      <c r="K152" s="9" t="str">
        <f>IFERROR(__xludf.DUMMYFUNCTION("""COMPUTED_VALUE"""),"Jl. Ruri, Kec. Pungalobu")</f>
        <v>Jl. Ruri, Kec. Pungalobu</v>
      </c>
      <c r="L152" s="9"/>
      <c r="M152" s="9"/>
      <c r="N152" s="8" t="s">
        <v>19</v>
      </c>
      <c r="O152" s="9"/>
      <c r="P152" s="9"/>
      <c r="Q152" s="9"/>
      <c r="R152" s="10" t="str">
        <f>IFERROR(__xludf.DUMMYFUNCTION("""COMPUTED_VALUE"""),"BK")</f>
        <v>BK</v>
      </c>
      <c r="S152" s="9"/>
    </row>
    <row r="153" ht="22.5" customHeight="1">
      <c r="A153" s="6">
        <v>152.0</v>
      </c>
      <c r="B153" s="9" t="str">
        <f>IFERROR(__xludf.DUMMYFUNCTION("""COMPUTED_VALUE"""),"Merakit Komponen Fabrikasi")</f>
        <v>Merakit Komponen Fabrikasi</v>
      </c>
      <c r="C153" s="9" t="str">
        <f>IFERROR(__xludf.DUMMYFUNCTION("""COMPUTED_VALUE"""),"SMK Negeri 2 Kendari")</f>
        <v>SMK Negeri 2 Kendari</v>
      </c>
      <c r="D153" s="9"/>
      <c r="E153" s="9"/>
      <c r="F153" s="9" t="str">
        <f>IFERROR(__xludf.DUMMYFUNCTION("""COMPUTED_VALUE"""),"Irwan Saputra")</f>
        <v>Irwan Saputra</v>
      </c>
      <c r="G153" s="9" t="str">
        <f>IFERROR(__xludf.DUMMYFUNCTION("""COMPUTED_VALUE"""),"7471060304080001")</f>
        <v>7471060304080001</v>
      </c>
      <c r="H153" s="9"/>
      <c r="I153" s="9"/>
      <c r="J153" s="10" t="str">
        <f>IFERROR(__xludf.DUMMYFUNCTION("""COMPUTED_VALUE"""),"LAKI-LAKI")</f>
        <v>LAKI-LAKI</v>
      </c>
      <c r="K153" s="9" t="str">
        <f>IFERROR(__xludf.DUMMYFUNCTION("""COMPUTED_VALUE"""),"Transmina Lapulu")</f>
        <v>Transmina Lapulu</v>
      </c>
      <c r="L153" s="9"/>
      <c r="M153" s="9"/>
      <c r="N153" s="8" t="s">
        <v>19</v>
      </c>
      <c r="O153" s="9"/>
      <c r="P153" s="9"/>
      <c r="Q153" s="9"/>
      <c r="R153" s="10" t="str">
        <f>IFERROR(__xludf.DUMMYFUNCTION("""COMPUTED_VALUE"""),"BK")</f>
        <v>BK</v>
      </c>
      <c r="S153" s="9"/>
    </row>
    <row r="154" ht="22.5" customHeight="1">
      <c r="A154" s="6">
        <v>153.0</v>
      </c>
      <c r="B154" s="9" t="str">
        <f>IFERROR(__xludf.DUMMYFUNCTION("""COMPUTED_VALUE"""),"Merakit Komponen Fabrikasi")</f>
        <v>Merakit Komponen Fabrikasi</v>
      </c>
      <c r="C154" s="9" t="str">
        <f>IFERROR(__xludf.DUMMYFUNCTION("""COMPUTED_VALUE"""),"SMK Negeri 2 Kendari")</f>
        <v>SMK Negeri 2 Kendari</v>
      </c>
      <c r="D154" s="9"/>
      <c r="E154" s="9"/>
      <c r="F154" s="9" t="str">
        <f>IFERROR(__xludf.DUMMYFUNCTION("""COMPUTED_VALUE"""),"Isbar Tri Omega Lambo")</f>
        <v>Isbar Tri Omega Lambo</v>
      </c>
      <c r="G154" s="9" t="str">
        <f>IFERROR(__xludf.DUMMYFUNCTION("""COMPUTED_VALUE"""),"7206030410070002")</f>
        <v>7206030410070002</v>
      </c>
      <c r="H154" s="9"/>
      <c r="I154" s="9"/>
      <c r="J154" s="10" t="str">
        <f>IFERROR(__xludf.DUMMYFUNCTION("""COMPUTED_VALUE"""),"LAKI-LAKI")</f>
        <v>LAKI-LAKI</v>
      </c>
      <c r="K154" s="9" t="str">
        <f>IFERROR(__xludf.DUMMYFUNCTION("""COMPUTED_VALUE"""),"Mohoni, Petasia Timur")</f>
        <v>Mohoni, Petasia Timur</v>
      </c>
      <c r="L154" s="9"/>
      <c r="M154" s="9"/>
      <c r="N154" s="8" t="s">
        <v>19</v>
      </c>
      <c r="O154" s="9"/>
      <c r="P154" s="9"/>
      <c r="Q154" s="9"/>
      <c r="R154" s="10" t="str">
        <f>IFERROR(__xludf.DUMMYFUNCTION("""COMPUTED_VALUE"""),"BK")</f>
        <v>BK</v>
      </c>
      <c r="S154" s="9"/>
    </row>
    <row r="155" ht="22.5" customHeight="1">
      <c r="A155" s="6">
        <v>154.0</v>
      </c>
      <c r="B155" s="9" t="str">
        <f>IFERROR(__xludf.DUMMYFUNCTION("""COMPUTED_VALUE"""),"Merakit Komponen Fabrikasi")</f>
        <v>Merakit Komponen Fabrikasi</v>
      </c>
      <c r="C155" s="9" t="str">
        <f>IFERROR(__xludf.DUMMYFUNCTION("""COMPUTED_VALUE"""),"SMK Negeri 2 Kendari")</f>
        <v>SMK Negeri 2 Kendari</v>
      </c>
      <c r="D155" s="9"/>
      <c r="E155" s="9"/>
      <c r="F155" s="9" t="str">
        <f>IFERROR(__xludf.DUMMYFUNCTION("""COMPUTED_VALUE"""),"La Ode Muh. Haider")</f>
        <v>La Ode Muh. Haider</v>
      </c>
      <c r="G155" s="9" t="str">
        <f>IFERROR(__xludf.DUMMYFUNCTION("""COMPUTED_VALUE"""),"7471060801080001")</f>
        <v>7471060801080001</v>
      </c>
      <c r="H155" s="9"/>
      <c r="I155" s="9"/>
      <c r="J155" s="10" t="str">
        <f>IFERROR(__xludf.DUMMYFUNCTION("""COMPUTED_VALUE"""),"LAKI-LAKI")</f>
        <v>LAKI-LAKI</v>
      </c>
      <c r="K155" s="9" t="str">
        <f>IFERROR(__xludf.DUMMYFUNCTION("""COMPUTED_VALUE"""),"Tobimeita, Kec. Nambo")</f>
        <v>Tobimeita, Kec. Nambo</v>
      </c>
      <c r="L155" s="9"/>
      <c r="M155" s="9"/>
      <c r="N155" s="8" t="s">
        <v>19</v>
      </c>
      <c r="O155" s="9"/>
      <c r="P155" s="9"/>
      <c r="Q155" s="9"/>
      <c r="R155" s="10" t="str">
        <f>IFERROR(__xludf.DUMMYFUNCTION("""COMPUTED_VALUE"""),"K")</f>
        <v>K</v>
      </c>
      <c r="S155" s="9"/>
    </row>
    <row r="156" ht="22.5" customHeight="1">
      <c r="A156" s="6">
        <v>155.0</v>
      </c>
      <c r="B156" s="9" t="str">
        <f>IFERROR(__xludf.DUMMYFUNCTION("""COMPUTED_VALUE"""),"Merakit Komponen Fabrikasi")</f>
        <v>Merakit Komponen Fabrikasi</v>
      </c>
      <c r="C156" s="9" t="str">
        <f>IFERROR(__xludf.DUMMYFUNCTION("""COMPUTED_VALUE"""),"SMK Negeri 2 Kendari")</f>
        <v>SMK Negeri 2 Kendari</v>
      </c>
      <c r="D156" s="9"/>
      <c r="E156" s="9"/>
      <c r="F156" s="9" t="str">
        <f>IFERROR(__xludf.DUMMYFUNCTION("""COMPUTED_VALUE"""),"LD Muhammad Yusuf")</f>
        <v>LD Muhammad Yusuf</v>
      </c>
      <c r="G156" s="9" t="str">
        <f>IFERROR(__xludf.DUMMYFUNCTION("""COMPUTED_VALUE"""),"7471012710080001")</f>
        <v>7471012710080001</v>
      </c>
      <c r="H156" s="9"/>
      <c r="I156" s="9"/>
      <c r="J156" s="10" t="str">
        <f>IFERROR(__xludf.DUMMYFUNCTION("""COMPUTED_VALUE"""),"LAKI-LAKI")</f>
        <v>LAKI-LAKI</v>
      </c>
      <c r="K156" s="9" t="str">
        <f>IFERROR(__xludf.DUMMYFUNCTION("""COMPUTED_VALUE"""),"Jl. Imam Bonjol, Kel. Alolama")</f>
        <v>Jl. Imam Bonjol, Kel. Alolama</v>
      </c>
      <c r="L156" s="9"/>
      <c r="M156" s="9"/>
      <c r="N156" s="8" t="s">
        <v>19</v>
      </c>
      <c r="O156" s="9"/>
      <c r="P156" s="9"/>
      <c r="Q156" s="9"/>
      <c r="R156" s="10" t="str">
        <f>IFERROR(__xludf.DUMMYFUNCTION("""COMPUTED_VALUE"""),"BK")</f>
        <v>BK</v>
      </c>
      <c r="S156" s="9"/>
    </row>
    <row r="157" ht="22.5" customHeight="1">
      <c r="A157" s="6">
        <v>156.0</v>
      </c>
      <c r="B157" s="9" t="str">
        <f>IFERROR(__xludf.DUMMYFUNCTION("""COMPUTED_VALUE"""),"Merakit Komponen Fabrikasi")</f>
        <v>Merakit Komponen Fabrikasi</v>
      </c>
      <c r="C157" s="9" t="str">
        <f>IFERROR(__xludf.DUMMYFUNCTION("""COMPUTED_VALUE"""),"SMK Negeri 2 Kendari")</f>
        <v>SMK Negeri 2 Kendari</v>
      </c>
      <c r="D157" s="9"/>
      <c r="E157" s="9"/>
      <c r="F157" s="9" t="str">
        <f>IFERROR(__xludf.DUMMYFUNCTION("""COMPUTED_VALUE"""),"La. Mondo")</f>
        <v>La. Mondo</v>
      </c>
      <c r="G157" s="9" t="str">
        <f>IFERROR(__xludf.DUMMYFUNCTION("""COMPUTED_VALUE"""),"7471071512070001")</f>
        <v>7471071512070001</v>
      </c>
      <c r="H157" s="9"/>
      <c r="I157" s="9"/>
      <c r="J157" s="10" t="str">
        <f>IFERROR(__xludf.DUMMYFUNCTION("""COMPUTED_VALUE"""),"LAKI-LAKI")</f>
        <v>LAKI-LAKI</v>
      </c>
      <c r="K157" s="9" t="str">
        <f>IFERROR(__xludf.DUMMYFUNCTION("""COMPUTED_VALUE"""),"Jln. Dr. Sutomo")</f>
        <v>Jln. Dr. Sutomo</v>
      </c>
      <c r="L157" s="9"/>
      <c r="M157" s="9"/>
      <c r="N157" s="8" t="s">
        <v>19</v>
      </c>
      <c r="O157" s="9"/>
      <c r="P157" s="9"/>
      <c r="Q157" s="9"/>
      <c r="R157" s="10" t="str">
        <f>IFERROR(__xludf.DUMMYFUNCTION("""COMPUTED_VALUE"""),"BK")</f>
        <v>BK</v>
      </c>
      <c r="S157" s="9"/>
    </row>
    <row r="158" ht="22.5" customHeight="1">
      <c r="A158" s="6">
        <v>157.0</v>
      </c>
      <c r="B158" s="9" t="str">
        <f>IFERROR(__xludf.DUMMYFUNCTION("""COMPUTED_VALUE"""),"Merakit Komponen Fabrikasi")</f>
        <v>Merakit Komponen Fabrikasi</v>
      </c>
      <c r="C158" s="9" t="str">
        <f>IFERROR(__xludf.DUMMYFUNCTION("""COMPUTED_VALUE"""),"SMK Negeri 2 Kendari")</f>
        <v>SMK Negeri 2 Kendari</v>
      </c>
      <c r="D158" s="9"/>
      <c r="E158" s="9"/>
      <c r="F158" s="9" t="str">
        <f>IFERROR(__xludf.DUMMYFUNCTION("""COMPUTED_VALUE"""),"Micky Alfa Reza")</f>
        <v>Micky Alfa Reza</v>
      </c>
      <c r="G158" s="9" t="str">
        <f>IFERROR(__xludf.DUMMYFUNCTION("""COMPUTED_VALUE"""),"7405122605070001")</f>
        <v>7405122605070001</v>
      </c>
      <c r="H158" s="9"/>
      <c r="I158" s="9"/>
      <c r="J158" s="10" t="str">
        <f>IFERROR(__xludf.DUMMYFUNCTION("""COMPUTED_VALUE"""),"LAKI-LAKI")</f>
        <v>LAKI-LAKI</v>
      </c>
      <c r="K158" s="9" t="str">
        <f>IFERROR(__xludf.DUMMYFUNCTION("""COMPUTED_VALUE"""),"Jl. Anawai")</f>
        <v>Jl. Anawai</v>
      </c>
      <c r="L158" s="9"/>
      <c r="M158" s="9"/>
      <c r="N158" s="8" t="s">
        <v>19</v>
      </c>
      <c r="O158" s="9"/>
      <c r="P158" s="9"/>
      <c r="Q158" s="9"/>
      <c r="R158" s="10" t="str">
        <f>IFERROR(__xludf.DUMMYFUNCTION("""COMPUTED_VALUE"""),"BK")</f>
        <v>BK</v>
      </c>
      <c r="S158" s="9"/>
    </row>
    <row r="159" ht="22.5" customHeight="1">
      <c r="A159" s="6">
        <v>158.0</v>
      </c>
      <c r="B159" s="9" t="str">
        <f>IFERROR(__xludf.DUMMYFUNCTION("""COMPUTED_VALUE"""),"Merakit Komponen Fabrikasi")</f>
        <v>Merakit Komponen Fabrikasi</v>
      </c>
      <c r="C159" s="9" t="str">
        <f>IFERROR(__xludf.DUMMYFUNCTION("""COMPUTED_VALUE"""),"SMK Negeri 2 Kendari")</f>
        <v>SMK Negeri 2 Kendari</v>
      </c>
      <c r="D159" s="9"/>
      <c r="E159" s="9"/>
      <c r="F159" s="9" t="str">
        <f>IFERROR(__xludf.DUMMYFUNCTION("""COMPUTED_VALUE"""),"Muh. Andika Putra Lubi")</f>
        <v>Muh. Andika Putra Lubi</v>
      </c>
      <c r="G159" s="9" t="str">
        <f>IFERROR(__xludf.DUMMYFUNCTION("""COMPUTED_VALUE"""),"7471012006070002")</f>
        <v>7471012006070002</v>
      </c>
      <c r="H159" s="9"/>
      <c r="I159" s="9"/>
      <c r="J159" s="10" t="str">
        <f>IFERROR(__xludf.DUMMYFUNCTION("""COMPUTED_VALUE"""),"LAKI-LAKI")</f>
        <v>LAKI-LAKI</v>
      </c>
      <c r="K159" s="9" t="str">
        <f>IFERROR(__xludf.DUMMYFUNCTION("""COMPUTED_VALUE"""),"Jln. Sam Ratulangi, Mandonga")</f>
        <v>Jln. Sam Ratulangi, Mandonga</v>
      </c>
      <c r="L159" s="9"/>
      <c r="M159" s="9"/>
      <c r="N159" s="8" t="s">
        <v>19</v>
      </c>
      <c r="O159" s="9"/>
      <c r="P159" s="9"/>
      <c r="Q159" s="9"/>
      <c r="R159" s="10" t="str">
        <f>IFERROR(__xludf.DUMMYFUNCTION("""COMPUTED_VALUE"""),"BK")</f>
        <v>BK</v>
      </c>
      <c r="S159" s="9"/>
    </row>
    <row r="160" ht="22.5" customHeight="1">
      <c r="A160" s="6">
        <v>159.0</v>
      </c>
      <c r="B160" s="9" t="str">
        <f>IFERROR(__xludf.DUMMYFUNCTION("""COMPUTED_VALUE"""),"Merakit Komponen Fabrikasi")</f>
        <v>Merakit Komponen Fabrikasi</v>
      </c>
      <c r="C160" s="9" t="str">
        <f>IFERROR(__xludf.DUMMYFUNCTION("""COMPUTED_VALUE"""),"SMK Negeri 2 Kendari")</f>
        <v>SMK Negeri 2 Kendari</v>
      </c>
      <c r="D160" s="9"/>
      <c r="E160" s="9"/>
      <c r="F160" s="9" t="str">
        <f>IFERROR(__xludf.DUMMYFUNCTION("""COMPUTED_VALUE"""),"Muh. Fachry")</f>
        <v>Muh. Fachry</v>
      </c>
      <c r="G160" s="9" t="str">
        <f>IFERROR(__xludf.DUMMYFUNCTION("""COMPUTED_VALUE"""),"7471051004080002")</f>
        <v>7471051004080002</v>
      </c>
      <c r="H160" s="9"/>
      <c r="I160" s="9"/>
      <c r="J160" s="10" t="str">
        <f>IFERROR(__xludf.DUMMYFUNCTION("""COMPUTED_VALUE"""),"LAKI-LAKI")</f>
        <v>LAKI-LAKI</v>
      </c>
      <c r="K160" s="9" t="str">
        <f>IFERROR(__xludf.DUMMYFUNCTION("""COMPUTED_VALUE"""),"Jln Bunga Tanjung")</f>
        <v>Jln Bunga Tanjung</v>
      </c>
      <c r="L160" s="9"/>
      <c r="M160" s="9"/>
      <c r="N160" s="8" t="s">
        <v>19</v>
      </c>
      <c r="O160" s="9"/>
      <c r="P160" s="9"/>
      <c r="Q160" s="9"/>
      <c r="R160" s="10" t="str">
        <f>IFERROR(__xludf.DUMMYFUNCTION("""COMPUTED_VALUE"""),"BK")</f>
        <v>BK</v>
      </c>
      <c r="S160" s="9"/>
    </row>
    <row r="161" ht="22.5" customHeight="1">
      <c r="A161" s="6">
        <v>160.0</v>
      </c>
      <c r="B161" s="9" t="str">
        <f>IFERROR(__xludf.DUMMYFUNCTION("""COMPUTED_VALUE"""),"Merakit Komponen Fabrikasi")</f>
        <v>Merakit Komponen Fabrikasi</v>
      </c>
      <c r="C161" s="9" t="str">
        <f>IFERROR(__xludf.DUMMYFUNCTION("""COMPUTED_VALUE"""),"SMK Negeri 2 Kendari")</f>
        <v>SMK Negeri 2 Kendari</v>
      </c>
      <c r="D161" s="9"/>
      <c r="E161" s="9"/>
      <c r="F161" s="9" t="str">
        <f>IFERROR(__xludf.DUMMYFUNCTION("""COMPUTED_VALUE"""),"Muh. Farhan Aidil Renan")</f>
        <v>Muh. Farhan Aidil Renan</v>
      </c>
      <c r="G161" s="9" t="str">
        <f>IFERROR(__xludf.DUMMYFUNCTION("""COMPUTED_VALUE"""),"7402362905080002")</f>
        <v>7402362905080002</v>
      </c>
      <c r="H161" s="9"/>
      <c r="I161" s="9"/>
      <c r="J161" s="10" t="str">
        <f>IFERROR(__xludf.DUMMYFUNCTION("""COMPUTED_VALUE"""),"LAKI-LAKI")</f>
        <v>LAKI-LAKI</v>
      </c>
      <c r="K161" s="9" t="str">
        <f>IFERROR(__xludf.DUMMYFUNCTION("""COMPUTED_VALUE"""),"Rapombinopaka")</f>
        <v>Rapombinopaka</v>
      </c>
      <c r="L161" s="9"/>
      <c r="M161" s="9"/>
      <c r="N161" s="8" t="s">
        <v>19</v>
      </c>
      <c r="O161" s="9"/>
      <c r="P161" s="9"/>
      <c r="Q161" s="9"/>
      <c r="R161" s="10" t="str">
        <f>IFERROR(__xludf.DUMMYFUNCTION("""COMPUTED_VALUE"""),"BK")</f>
        <v>BK</v>
      </c>
      <c r="S161" s="9"/>
    </row>
    <row r="162" ht="22.5" customHeight="1">
      <c r="A162" s="6">
        <v>161.0</v>
      </c>
      <c r="B162" s="9" t="str">
        <f>IFERROR(__xludf.DUMMYFUNCTION("""COMPUTED_VALUE"""),"Merakit Komponen Fabrikasi")</f>
        <v>Merakit Komponen Fabrikasi</v>
      </c>
      <c r="C162" s="9" t="str">
        <f>IFERROR(__xludf.DUMMYFUNCTION("""COMPUTED_VALUE"""),"SMK Negeri 2 Kendari")</f>
        <v>SMK Negeri 2 Kendari</v>
      </c>
      <c r="D162" s="9"/>
      <c r="E162" s="9"/>
      <c r="F162" s="9" t="str">
        <f>IFERROR(__xludf.DUMMYFUNCTION("""COMPUTED_VALUE"""),"Muh. Izya Aprianzyah Azhari Ukes")</f>
        <v>Muh. Izya Aprianzyah Azhari Ukes</v>
      </c>
      <c r="G162" s="9" t="str">
        <f>IFERROR(__xludf.DUMMYFUNCTION("""COMPUTED_VALUE"""),"7471016104070002")</f>
        <v>7471016104070002</v>
      </c>
      <c r="H162" s="9"/>
      <c r="I162" s="9"/>
      <c r="J162" s="10" t="str">
        <f>IFERROR(__xludf.DUMMYFUNCTION("""COMPUTED_VALUE"""),"PEREMPUAN")</f>
        <v>PEREMPUAN</v>
      </c>
      <c r="K162" s="9" t="str">
        <f>IFERROR(__xludf.DUMMYFUNCTION("""COMPUTED_VALUE"""),"Jl. Konggoasa")</f>
        <v>Jl. Konggoasa</v>
      </c>
      <c r="L162" s="9"/>
      <c r="M162" s="9"/>
      <c r="N162" s="8" t="s">
        <v>19</v>
      </c>
      <c r="O162" s="9"/>
      <c r="P162" s="9"/>
      <c r="Q162" s="9"/>
      <c r="R162" s="10" t="str">
        <f>IFERROR(__xludf.DUMMYFUNCTION("""COMPUTED_VALUE"""),"BK")</f>
        <v>BK</v>
      </c>
      <c r="S162" s="9"/>
    </row>
    <row r="163" ht="22.5" customHeight="1">
      <c r="A163" s="6">
        <v>162.0</v>
      </c>
      <c r="B163" s="9" t="str">
        <f>IFERROR(__xludf.DUMMYFUNCTION("""COMPUTED_VALUE"""),"Merakit Komponen Fabrikasi")</f>
        <v>Merakit Komponen Fabrikasi</v>
      </c>
      <c r="C163" s="9" t="str">
        <f>IFERROR(__xludf.DUMMYFUNCTION("""COMPUTED_VALUE"""),"SMK Negeri 2 Kendari")</f>
        <v>SMK Negeri 2 Kendari</v>
      </c>
      <c r="D163" s="9"/>
      <c r="E163" s="9"/>
      <c r="F163" s="9" t="str">
        <f>IFERROR(__xludf.DUMMYFUNCTION("""COMPUTED_VALUE"""),"Muh. Idul Rahmansyah")</f>
        <v>Muh. Idul Rahmansyah</v>
      </c>
      <c r="G163" s="9" t="str">
        <f>IFERROR(__xludf.DUMMYFUNCTION("""COMPUTED_VALUE"""),"7471051710080001")</f>
        <v>7471051710080001</v>
      </c>
      <c r="H163" s="9"/>
      <c r="I163" s="9"/>
      <c r="J163" s="10" t="str">
        <f>IFERROR(__xludf.DUMMYFUNCTION("""COMPUTED_VALUE"""),"LAKI-LAKI")</f>
        <v>LAKI-LAKI</v>
      </c>
      <c r="K163" s="9" t="str">
        <f>IFERROR(__xludf.DUMMYFUNCTION("""COMPUTED_VALUE"""),"Jl. Sultan Hasanuddin")</f>
        <v>Jl. Sultan Hasanuddin</v>
      </c>
      <c r="L163" s="9"/>
      <c r="M163" s="9"/>
      <c r="N163" s="8" t="s">
        <v>19</v>
      </c>
      <c r="O163" s="9"/>
      <c r="P163" s="9"/>
      <c r="Q163" s="9"/>
      <c r="R163" s="10" t="str">
        <f>IFERROR(__xludf.DUMMYFUNCTION("""COMPUTED_VALUE"""),"BK")</f>
        <v>BK</v>
      </c>
      <c r="S163" s="9"/>
    </row>
    <row r="164" ht="22.5" customHeight="1">
      <c r="A164" s="6">
        <v>163.0</v>
      </c>
      <c r="B164" s="9" t="str">
        <f>IFERROR(__xludf.DUMMYFUNCTION("""COMPUTED_VALUE"""),"Merakit Komponen Fabrikasi")</f>
        <v>Merakit Komponen Fabrikasi</v>
      </c>
      <c r="C164" s="9" t="str">
        <f>IFERROR(__xludf.DUMMYFUNCTION("""COMPUTED_VALUE"""),"SMK Negeri 2 Kendari")</f>
        <v>SMK Negeri 2 Kendari</v>
      </c>
      <c r="D164" s="9"/>
      <c r="E164" s="9"/>
      <c r="F164" s="9" t="str">
        <f>IFERROR(__xludf.DUMMYFUNCTION("""COMPUTED_VALUE"""),"Muh. Farel Apriansyah")</f>
        <v>Muh. Farel Apriansyah</v>
      </c>
      <c r="G164" s="9" t="str">
        <f>IFERROR(__xludf.DUMMYFUNCTION("""COMPUTED_VALUE"""),"7401100905080001")</f>
        <v>7401100905080001</v>
      </c>
      <c r="H164" s="9"/>
      <c r="I164" s="9"/>
      <c r="J164" s="10" t="str">
        <f>IFERROR(__xludf.DUMMYFUNCTION("""COMPUTED_VALUE"""),"LAKI-LAKI")</f>
        <v>LAKI-LAKI</v>
      </c>
      <c r="K164" s="9" t="str">
        <f>IFERROR(__xludf.DUMMYFUNCTION("""COMPUTED_VALUE"""),"Dusun III Suka Karya")</f>
        <v>Dusun III Suka Karya</v>
      </c>
      <c r="L164" s="9"/>
      <c r="M164" s="9"/>
      <c r="N164" s="8" t="s">
        <v>19</v>
      </c>
      <c r="O164" s="9"/>
      <c r="P164" s="9"/>
      <c r="Q164" s="9"/>
      <c r="R164" s="10" t="str">
        <f>IFERROR(__xludf.DUMMYFUNCTION("""COMPUTED_VALUE"""),"K")</f>
        <v>K</v>
      </c>
      <c r="S164" s="9"/>
    </row>
    <row r="165" ht="22.5" customHeight="1">
      <c r="A165" s="6">
        <v>164.0</v>
      </c>
      <c r="B165" s="9" t="str">
        <f>IFERROR(__xludf.DUMMYFUNCTION("""COMPUTED_VALUE"""),"Merakit Komponen Fabrikasi")</f>
        <v>Merakit Komponen Fabrikasi</v>
      </c>
      <c r="C165" s="9" t="str">
        <f>IFERROR(__xludf.DUMMYFUNCTION("""COMPUTED_VALUE"""),"SMK Negeri 2 Kendari")</f>
        <v>SMK Negeri 2 Kendari</v>
      </c>
      <c r="D165" s="9"/>
      <c r="E165" s="9"/>
      <c r="F165" s="9" t="str">
        <f>IFERROR(__xludf.DUMMYFUNCTION("""COMPUTED_VALUE"""),"Rehan Pramana")</f>
        <v>Rehan Pramana</v>
      </c>
      <c r="G165" s="9" t="str">
        <f>IFERROR(__xludf.DUMMYFUNCTION("""COMPUTED_VALUE"""),"7471102810080001")</f>
        <v>7471102810080001</v>
      </c>
      <c r="H165" s="9"/>
      <c r="I165" s="9"/>
      <c r="J165" s="10" t="str">
        <f>IFERROR(__xludf.DUMMYFUNCTION("""COMPUTED_VALUE"""),"LAKI-LAKI")</f>
        <v>LAKI-LAKI</v>
      </c>
      <c r="K165" s="9" t="str">
        <f>IFERROR(__xludf.DUMMYFUNCTION("""COMPUTED_VALUE"""),"Jl. H.E.A Mokodompit Lrg. Mata Air III")</f>
        <v>Jl. H.E.A Mokodompit Lrg. Mata Air III</v>
      </c>
      <c r="L165" s="9"/>
      <c r="M165" s="9"/>
      <c r="N165" s="8" t="s">
        <v>19</v>
      </c>
      <c r="O165" s="9"/>
      <c r="P165" s="9"/>
      <c r="Q165" s="9"/>
      <c r="R165" s="10" t="str">
        <f>IFERROR(__xludf.DUMMYFUNCTION("""COMPUTED_VALUE"""),"K")</f>
        <v>K</v>
      </c>
      <c r="S165" s="9"/>
    </row>
    <row r="166" ht="22.5" customHeight="1">
      <c r="A166" s="6">
        <v>165.0</v>
      </c>
      <c r="B166" s="9" t="str">
        <f>IFERROR(__xludf.DUMMYFUNCTION("""COMPUTED_VALUE"""),"Merakit Komponen Fabrikasi")</f>
        <v>Merakit Komponen Fabrikasi</v>
      </c>
      <c r="C166" s="9" t="str">
        <f>IFERROR(__xludf.DUMMYFUNCTION("""COMPUTED_VALUE"""),"SMK Negeri 2 Kendari")</f>
        <v>SMK Negeri 2 Kendari</v>
      </c>
      <c r="D166" s="9"/>
      <c r="E166" s="9"/>
      <c r="F166" s="9" t="str">
        <f>IFERROR(__xludf.DUMMYFUNCTION("""COMPUTED_VALUE"""),"Revan")</f>
        <v>Revan</v>
      </c>
      <c r="G166" s="9" t="str">
        <f>IFERROR(__xludf.DUMMYFUNCTION("""COMPUTED_VALUE"""),"7471060611070001")</f>
        <v>7471060611070001</v>
      </c>
      <c r="H166" s="9"/>
      <c r="I166" s="9"/>
      <c r="J166" s="10" t="str">
        <f>IFERROR(__xludf.DUMMYFUNCTION("""COMPUTED_VALUE"""),"LAKI-LAKI")</f>
        <v>LAKI-LAKI</v>
      </c>
      <c r="K166" s="9" t="str">
        <f>IFERROR(__xludf.DUMMYFUNCTION("""COMPUTED_VALUE"""),"Kel. Abeli")</f>
        <v>Kel. Abeli</v>
      </c>
      <c r="L166" s="9"/>
      <c r="M166" s="9"/>
      <c r="N166" s="8" t="s">
        <v>19</v>
      </c>
      <c r="O166" s="9"/>
      <c r="P166" s="9"/>
      <c r="Q166" s="9"/>
      <c r="R166" s="10" t="str">
        <f>IFERROR(__xludf.DUMMYFUNCTION("""COMPUTED_VALUE"""),"K")</f>
        <v>K</v>
      </c>
      <c r="S166" s="9"/>
    </row>
    <row r="167" ht="22.5" customHeight="1">
      <c r="A167" s="6">
        <v>166.0</v>
      </c>
      <c r="B167" s="9" t="str">
        <f>IFERROR(__xludf.DUMMYFUNCTION("""COMPUTED_VALUE"""),"Merakit Komponen Fabrikasi")</f>
        <v>Merakit Komponen Fabrikasi</v>
      </c>
      <c r="C167" s="9" t="str">
        <f>IFERROR(__xludf.DUMMYFUNCTION("""COMPUTED_VALUE"""),"SMK Negeri 2 Kendari")</f>
        <v>SMK Negeri 2 Kendari</v>
      </c>
      <c r="D167" s="9"/>
      <c r="E167" s="9"/>
      <c r="F167" s="9" t="str">
        <f>IFERROR(__xludf.DUMMYFUNCTION("""COMPUTED_VALUE"""),"Rhevand Alfero")</f>
        <v>Rhevand Alfero</v>
      </c>
      <c r="G167" s="9" t="str">
        <f>IFERROR(__xludf.DUMMYFUNCTION("""COMPUTED_VALUE"""),"7471055409070001")</f>
        <v>7471055409070001</v>
      </c>
      <c r="H167" s="9"/>
      <c r="I167" s="9"/>
      <c r="J167" s="10" t="str">
        <f>IFERROR(__xludf.DUMMYFUNCTION("""COMPUTED_VALUE"""),"PEREMPUAN")</f>
        <v>PEREMPUAN</v>
      </c>
      <c r="K167" s="9"/>
      <c r="L167" s="9"/>
      <c r="M167" s="9"/>
      <c r="N167" s="8" t="s">
        <v>19</v>
      </c>
      <c r="O167" s="9"/>
      <c r="P167" s="9"/>
      <c r="Q167" s="9"/>
      <c r="R167" s="10" t="str">
        <f>IFERROR(__xludf.DUMMYFUNCTION("""COMPUTED_VALUE"""),"BK")</f>
        <v>BK</v>
      </c>
      <c r="S167" s="9"/>
    </row>
    <row r="168" ht="22.5" customHeight="1">
      <c r="A168" s="6">
        <v>167.0</v>
      </c>
      <c r="B168" s="9" t="str">
        <f>IFERROR(__xludf.DUMMYFUNCTION("""COMPUTED_VALUE"""),"Merakit Komponen Fabrikasi")</f>
        <v>Merakit Komponen Fabrikasi</v>
      </c>
      <c r="C168" s="9" t="str">
        <f>IFERROR(__xludf.DUMMYFUNCTION("""COMPUTED_VALUE"""),"SMK Negeri 2 Kendari")</f>
        <v>SMK Negeri 2 Kendari</v>
      </c>
      <c r="D168" s="9"/>
      <c r="E168" s="9"/>
      <c r="F168" s="9" t="str">
        <f>IFERROR(__xludf.DUMMYFUNCTION("""COMPUTED_VALUE"""),"Salmansyah")</f>
        <v>Salmansyah</v>
      </c>
      <c r="G168" s="9" t="str">
        <f>IFERROR(__xludf.DUMMYFUNCTION("""COMPUTED_VALUE"""),"7471060102090001")</f>
        <v>7471060102090001</v>
      </c>
      <c r="H168" s="9"/>
      <c r="I168" s="9"/>
      <c r="J168" s="10" t="str">
        <f>IFERROR(__xludf.DUMMYFUNCTION("""COMPUTED_VALUE"""),"LAKI-LAKI")</f>
        <v>LAKI-LAKI</v>
      </c>
      <c r="K168" s="9" t="str">
        <f>IFERROR(__xludf.DUMMYFUNCTION("""COMPUTED_VALUE"""),"Abeli")</f>
        <v>Abeli</v>
      </c>
      <c r="L168" s="9"/>
      <c r="M168" s="9"/>
      <c r="N168" s="8" t="s">
        <v>19</v>
      </c>
      <c r="O168" s="9"/>
      <c r="P168" s="9"/>
      <c r="Q168" s="9"/>
      <c r="R168" s="10" t="str">
        <f>IFERROR(__xludf.DUMMYFUNCTION("""COMPUTED_VALUE"""),"BK")</f>
        <v>BK</v>
      </c>
      <c r="S168" s="9"/>
    </row>
    <row r="169" ht="22.5" customHeight="1">
      <c r="A169" s="6">
        <v>168.0</v>
      </c>
      <c r="B169" s="9" t="str">
        <f>IFERROR(__xludf.DUMMYFUNCTION("""COMPUTED_VALUE"""),"Merakit Komponen Fabrikasi")</f>
        <v>Merakit Komponen Fabrikasi</v>
      </c>
      <c r="C169" s="9" t="str">
        <f>IFERROR(__xludf.DUMMYFUNCTION("""COMPUTED_VALUE"""),"SMK Negeri 2 Kendari")</f>
        <v>SMK Negeri 2 Kendari</v>
      </c>
      <c r="D169" s="9"/>
      <c r="E169" s="9"/>
      <c r="F169" s="9" t="str">
        <f>IFERROR(__xludf.DUMMYFUNCTION("""COMPUTED_VALUE"""),"Syukur")</f>
        <v>Syukur</v>
      </c>
      <c r="G169" s="9" t="str">
        <f>IFERROR(__xludf.DUMMYFUNCTION("""COMPUTED_VALUE"""),"7471100101080004")</f>
        <v>7471100101080004</v>
      </c>
      <c r="H169" s="9"/>
      <c r="I169" s="9"/>
      <c r="J169" s="10" t="str">
        <f>IFERROR(__xludf.DUMMYFUNCTION("""COMPUTED_VALUE"""),"LAKI-LAKI")</f>
        <v>LAKI-LAKI</v>
      </c>
      <c r="K169" s="9" t="str">
        <f>IFERROR(__xludf.DUMMYFUNCTION("""COMPUTED_VALUE"""),"Jl. Malaka")</f>
        <v>Jl. Malaka</v>
      </c>
      <c r="L169" s="9"/>
      <c r="M169" s="9"/>
      <c r="N169" s="8" t="s">
        <v>19</v>
      </c>
      <c r="O169" s="9"/>
      <c r="P169" s="9"/>
      <c r="Q169" s="9"/>
      <c r="R169" s="10" t="str">
        <f>IFERROR(__xludf.DUMMYFUNCTION("""COMPUTED_VALUE"""),"K")</f>
        <v>K</v>
      </c>
      <c r="S169" s="9"/>
    </row>
    <row r="170" ht="22.5" customHeight="1">
      <c r="A170" s="6">
        <v>169.0</v>
      </c>
      <c r="B170" s="9" t="str">
        <f>IFERROR(__xludf.DUMMYFUNCTION("""COMPUTED_VALUE"""),"Pemasangan Pembangkit Listrik Tenaga Surya Off-Grid")</f>
        <v>Pemasangan Pembangkit Listrik Tenaga Surya Off-Grid</v>
      </c>
      <c r="C170" s="9" t="str">
        <f>IFERROR(__xludf.DUMMYFUNCTION("""COMPUTED_VALUE"""),"SMK Negeri 2 Kendari")</f>
        <v>SMK Negeri 2 Kendari</v>
      </c>
      <c r="D170" s="9"/>
      <c r="E170" s="9"/>
      <c r="F170" s="9" t="str">
        <f>IFERROR(__xludf.DUMMYFUNCTION("""COMPUTED_VALUE"""),"Adam Syanif")</f>
        <v>Adam Syanif</v>
      </c>
      <c r="G170" s="9" t="str">
        <f>IFERROR(__xludf.DUMMYFUNCTION("""COMPUTED_VALUE"""),"7471040205080003")</f>
        <v>7471040205080003</v>
      </c>
      <c r="H170" s="9"/>
      <c r="I170" s="9"/>
      <c r="J170" s="10" t="str">
        <f>IFERROR(__xludf.DUMMYFUNCTION("""COMPUTED_VALUE"""),"LAKI-LAKI")</f>
        <v>LAKI-LAKI</v>
      </c>
      <c r="K170" s="9" t="str">
        <f>IFERROR(__xludf.DUMMYFUNCTION("""COMPUTED_VALUE"""),"Kec. Lalonggusumeeto, Kab. Konawe")</f>
        <v>Kec. Lalonggusumeeto, Kab. Konawe</v>
      </c>
      <c r="L170" s="9"/>
      <c r="M170" s="9"/>
      <c r="N170" s="8" t="s">
        <v>19</v>
      </c>
      <c r="O170" s="9"/>
      <c r="P170" s="9"/>
      <c r="Q170" s="9"/>
      <c r="R170" s="10" t="str">
        <f>IFERROR(__xludf.DUMMYFUNCTION("""COMPUTED_VALUE"""),"BK")</f>
        <v>BK</v>
      </c>
      <c r="S170" s="9"/>
    </row>
    <row r="171" ht="22.5" customHeight="1">
      <c r="A171" s="6">
        <v>170.0</v>
      </c>
      <c r="B171" s="9" t="str">
        <f>IFERROR(__xludf.DUMMYFUNCTION("""COMPUTED_VALUE"""),"Pemasangan Pembangkit Listrik Tenaga Surya Off-Grid")</f>
        <v>Pemasangan Pembangkit Listrik Tenaga Surya Off-Grid</v>
      </c>
      <c r="C171" s="9" t="str">
        <f>IFERROR(__xludf.DUMMYFUNCTION("""COMPUTED_VALUE"""),"SMK Negeri 2 Kendari")</f>
        <v>SMK Negeri 2 Kendari</v>
      </c>
      <c r="D171" s="9"/>
      <c r="E171" s="9"/>
      <c r="F171" s="9" t="str">
        <f>IFERROR(__xludf.DUMMYFUNCTION("""COMPUTED_VALUE"""),"Advan Ridho Muhammad")</f>
        <v>Advan Ridho Muhammad</v>
      </c>
      <c r="G171" s="9" t="str">
        <f>IFERROR(__xludf.DUMMYFUNCTION("""COMPUTED_VALUE"""),"7403372205080001")</f>
        <v>7403372205080001</v>
      </c>
      <c r="H171" s="9"/>
      <c r="I171" s="9"/>
      <c r="J171" s="10" t="str">
        <f>IFERROR(__xludf.DUMMYFUNCTION("""COMPUTED_VALUE"""),"LAKI-LAKI")</f>
        <v>LAKI-LAKI</v>
      </c>
      <c r="K171" s="9" t="str">
        <f>IFERROR(__xludf.DUMMYFUNCTION("""COMPUTED_VALUE"""),"Jl. Chairil Anwar")</f>
        <v>Jl. Chairil Anwar</v>
      </c>
      <c r="L171" s="9"/>
      <c r="M171" s="9"/>
      <c r="N171" s="8" t="s">
        <v>19</v>
      </c>
      <c r="O171" s="9"/>
      <c r="P171" s="9"/>
      <c r="Q171" s="9"/>
      <c r="R171" s="10" t="str">
        <f>IFERROR(__xludf.DUMMYFUNCTION("""COMPUTED_VALUE"""),"BK")</f>
        <v>BK</v>
      </c>
      <c r="S171" s="9"/>
    </row>
    <row r="172" ht="22.5" customHeight="1">
      <c r="A172" s="6">
        <v>171.0</v>
      </c>
      <c r="B172" s="9" t="str">
        <f>IFERROR(__xludf.DUMMYFUNCTION("""COMPUTED_VALUE"""),"Pemasangan Pembangkit Listrik Tenaga Surya Off-Grid")</f>
        <v>Pemasangan Pembangkit Listrik Tenaga Surya Off-Grid</v>
      </c>
      <c r="C172" s="9" t="str">
        <f>IFERROR(__xludf.DUMMYFUNCTION("""COMPUTED_VALUE"""),"SMK Negeri 2 Kendari")</f>
        <v>SMK Negeri 2 Kendari</v>
      </c>
      <c r="D172" s="9"/>
      <c r="E172" s="9"/>
      <c r="F172" s="9" t="str">
        <f>IFERROR(__xludf.DUMMYFUNCTION("""COMPUTED_VALUE"""),"Afgan Yuda Iksan")</f>
        <v>Afgan Yuda Iksan</v>
      </c>
      <c r="G172" s="9" t="str">
        <f>IFERROR(__xludf.DUMMYFUNCTION("""COMPUTED_VALUE"""),"7471060301190001")</f>
        <v>7471060301190001</v>
      </c>
      <c r="H172" s="9"/>
      <c r="I172" s="9"/>
      <c r="J172" s="10" t="str">
        <f>IFERROR(__xludf.DUMMYFUNCTION("""COMPUTED_VALUE"""),"LAKI-LAKI")</f>
        <v>LAKI-LAKI</v>
      </c>
      <c r="K172" s="9" t="str">
        <f>IFERROR(__xludf.DUMMYFUNCTION("""COMPUTED_VALUE"""),"Tobimeita, Kec. Nambo, Kota Kendari")</f>
        <v>Tobimeita, Kec. Nambo, Kota Kendari</v>
      </c>
      <c r="L172" s="9"/>
      <c r="M172" s="9"/>
      <c r="N172" s="8" t="s">
        <v>19</v>
      </c>
      <c r="O172" s="9"/>
      <c r="P172" s="9"/>
      <c r="Q172" s="9"/>
      <c r="R172" s="10" t="str">
        <f>IFERROR(__xludf.DUMMYFUNCTION("""COMPUTED_VALUE"""),"BK")</f>
        <v>BK</v>
      </c>
      <c r="S172" s="9"/>
    </row>
    <row r="173" ht="22.5" customHeight="1">
      <c r="A173" s="6">
        <v>172.0</v>
      </c>
      <c r="B173" s="9" t="str">
        <f>IFERROR(__xludf.DUMMYFUNCTION("""COMPUTED_VALUE"""),"Pemasangan Pembangkit Listrik Tenaga Surya Off-Grid")</f>
        <v>Pemasangan Pembangkit Listrik Tenaga Surya Off-Grid</v>
      </c>
      <c r="C173" s="9" t="str">
        <f>IFERROR(__xludf.DUMMYFUNCTION("""COMPUTED_VALUE"""),"SMK Negeri 2 Kendari")</f>
        <v>SMK Negeri 2 Kendari</v>
      </c>
      <c r="D173" s="9"/>
      <c r="E173" s="9"/>
      <c r="F173" s="9" t="str">
        <f>IFERROR(__xludf.DUMMYFUNCTION("""COMPUTED_VALUE"""),"Al Fathir Anugrah B")</f>
        <v>Al Fathir Anugrah B</v>
      </c>
      <c r="G173" s="9" t="str">
        <f>IFERROR(__xludf.DUMMYFUNCTION("""COMPUTED_VALUE"""),"7471092208080001")</f>
        <v>7471092208080001</v>
      </c>
      <c r="H173" s="9"/>
      <c r="I173" s="9"/>
      <c r="J173" s="10" t="str">
        <f>IFERROR(__xludf.DUMMYFUNCTION("""COMPUTED_VALUE"""),"LAKI-LAKI")</f>
        <v>LAKI-LAKI</v>
      </c>
      <c r="K173" s="9" t="str">
        <f>IFERROR(__xludf.DUMMYFUNCTION("""COMPUTED_VALUE"""),"-")</f>
        <v>-</v>
      </c>
      <c r="L173" s="9"/>
      <c r="M173" s="9"/>
      <c r="N173" s="8" t="s">
        <v>19</v>
      </c>
      <c r="O173" s="9"/>
      <c r="P173" s="9"/>
      <c r="Q173" s="9"/>
      <c r="R173" s="10" t="str">
        <f>IFERROR(__xludf.DUMMYFUNCTION("""COMPUTED_VALUE"""),"K")</f>
        <v>K</v>
      </c>
      <c r="S173" s="9"/>
    </row>
    <row r="174" ht="22.5" customHeight="1">
      <c r="A174" s="6">
        <v>173.0</v>
      </c>
      <c r="B174" s="9" t="str">
        <f>IFERROR(__xludf.DUMMYFUNCTION("""COMPUTED_VALUE"""),"Pemasangan Pembangkit Listrik Tenaga Surya Off-Grid")</f>
        <v>Pemasangan Pembangkit Listrik Tenaga Surya Off-Grid</v>
      </c>
      <c r="C174" s="9" t="str">
        <f>IFERROR(__xludf.DUMMYFUNCTION("""COMPUTED_VALUE"""),"SMK Negeri 2 Kendari")</f>
        <v>SMK Negeri 2 Kendari</v>
      </c>
      <c r="D174" s="9"/>
      <c r="E174" s="9"/>
      <c r="F174" s="9" t="str">
        <f>IFERROR(__xludf.DUMMYFUNCTION("""COMPUTED_VALUE"""),"Alfin Emi")</f>
        <v>Alfin Emi</v>
      </c>
      <c r="G174" s="9" t="str">
        <f>IFERROR(__xludf.DUMMYFUNCTION("""COMPUTED_VALUE"""),"7471061307060004")</f>
        <v>7471061307060004</v>
      </c>
      <c r="H174" s="9"/>
      <c r="I174" s="9"/>
      <c r="J174" s="10" t="str">
        <f>IFERROR(__xludf.DUMMYFUNCTION("""COMPUTED_VALUE"""),"LAKI-LAKI")</f>
        <v>LAKI-LAKI</v>
      </c>
      <c r="K174" s="9" t="str">
        <f>IFERROR(__xludf.DUMMYFUNCTION("""COMPUTED_VALUE"""),"Tobimeita")</f>
        <v>Tobimeita</v>
      </c>
      <c r="L174" s="9"/>
      <c r="M174" s="9"/>
      <c r="N174" s="8" t="s">
        <v>19</v>
      </c>
      <c r="O174" s="9"/>
      <c r="P174" s="9"/>
      <c r="Q174" s="9"/>
      <c r="R174" s="10" t="str">
        <f>IFERROR(__xludf.DUMMYFUNCTION("""COMPUTED_VALUE"""),"BK")</f>
        <v>BK</v>
      </c>
      <c r="S174" s="9"/>
    </row>
    <row r="175" ht="22.5" customHeight="1">
      <c r="A175" s="6">
        <v>174.0</v>
      </c>
      <c r="B175" s="9" t="str">
        <f>IFERROR(__xludf.DUMMYFUNCTION("""COMPUTED_VALUE"""),"Pemasangan Pembangkit Listrik Tenaga Surya Off-Grid")</f>
        <v>Pemasangan Pembangkit Listrik Tenaga Surya Off-Grid</v>
      </c>
      <c r="C175" s="9" t="str">
        <f>IFERROR(__xludf.DUMMYFUNCTION("""COMPUTED_VALUE"""),"SMK Negeri 2 Kendari")</f>
        <v>SMK Negeri 2 Kendari</v>
      </c>
      <c r="D175" s="9"/>
      <c r="E175" s="9"/>
      <c r="F175" s="9" t="str">
        <f>IFERROR(__xludf.DUMMYFUNCTION("""COMPUTED_VALUE"""),"Alpin Dalami")</f>
        <v>Alpin Dalami</v>
      </c>
      <c r="G175" s="9" t="str">
        <f>IFERROR(__xludf.DUMMYFUNCTION("""COMPUTED_VALUE"""),"7405181112070002")</f>
        <v>7405181112070002</v>
      </c>
      <c r="H175" s="9"/>
      <c r="I175" s="9"/>
      <c r="J175" s="10" t="str">
        <f>IFERROR(__xludf.DUMMYFUNCTION("""COMPUTED_VALUE"""),"LAKI-LAKI")</f>
        <v>LAKI-LAKI</v>
      </c>
      <c r="K175" s="9" t="str">
        <f>IFERROR(__xludf.DUMMYFUNCTION("""COMPUTED_VALUE"""),"Kel. Wolasi")</f>
        <v>Kel. Wolasi</v>
      </c>
      <c r="L175" s="9"/>
      <c r="M175" s="9"/>
      <c r="N175" s="8" t="s">
        <v>19</v>
      </c>
      <c r="O175" s="9"/>
      <c r="P175" s="9"/>
      <c r="Q175" s="9"/>
      <c r="R175" s="10" t="str">
        <f>IFERROR(__xludf.DUMMYFUNCTION("""COMPUTED_VALUE"""),"BK")</f>
        <v>BK</v>
      </c>
      <c r="S175" s="9"/>
    </row>
    <row r="176" ht="22.5" customHeight="1">
      <c r="A176" s="6">
        <v>175.0</v>
      </c>
      <c r="B176" s="9" t="str">
        <f>IFERROR(__xludf.DUMMYFUNCTION("""COMPUTED_VALUE"""),"Pemasangan Pembangkit Listrik Tenaga Surya Off-Grid")</f>
        <v>Pemasangan Pembangkit Listrik Tenaga Surya Off-Grid</v>
      </c>
      <c r="C176" s="9" t="str">
        <f>IFERROR(__xludf.DUMMYFUNCTION("""COMPUTED_VALUE"""),"SMK Negeri 2 Kendari")</f>
        <v>SMK Negeri 2 Kendari</v>
      </c>
      <c r="D176" s="9"/>
      <c r="E176" s="9"/>
      <c r="F176" s="9" t="str">
        <f>IFERROR(__xludf.DUMMYFUNCTION("""COMPUTED_VALUE"""),"Dendra Liambo")</f>
        <v>Dendra Liambo</v>
      </c>
      <c r="G176" s="9" t="str">
        <f>IFERROR(__xludf.DUMMYFUNCTION("""COMPUTED_VALUE"""),"7471061701070004")</f>
        <v>7471061701070004</v>
      </c>
      <c r="H176" s="9"/>
      <c r="I176" s="9"/>
      <c r="J176" s="10" t="str">
        <f>IFERROR(__xludf.DUMMYFUNCTION("""COMPUTED_VALUE"""),"LAKI-LAKI")</f>
        <v>LAKI-LAKI</v>
      </c>
      <c r="K176" s="9" t="str">
        <f>IFERROR(__xludf.DUMMYFUNCTION("""COMPUTED_VALUE"""),"Kel. Nambo")</f>
        <v>Kel. Nambo</v>
      </c>
      <c r="L176" s="9"/>
      <c r="M176" s="9"/>
      <c r="N176" s="8" t="s">
        <v>19</v>
      </c>
      <c r="O176" s="9"/>
      <c r="P176" s="9"/>
      <c r="Q176" s="9"/>
      <c r="R176" s="10" t="str">
        <f>IFERROR(__xludf.DUMMYFUNCTION("""COMPUTED_VALUE"""),"BK")</f>
        <v>BK</v>
      </c>
      <c r="S176" s="9"/>
    </row>
    <row r="177" ht="22.5" customHeight="1">
      <c r="A177" s="6">
        <v>176.0</v>
      </c>
      <c r="B177" s="9" t="str">
        <f>IFERROR(__xludf.DUMMYFUNCTION("""COMPUTED_VALUE"""),"Pemasangan Pembangkit Listrik Tenaga Surya Off-Grid")</f>
        <v>Pemasangan Pembangkit Listrik Tenaga Surya Off-Grid</v>
      </c>
      <c r="C177" s="9" t="str">
        <f>IFERROR(__xludf.DUMMYFUNCTION("""COMPUTED_VALUE"""),"SMK Negeri 2 Kendari")</f>
        <v>SMK Negeri 2 Kendari</v>
      </c>
      <c r="D177" s="9"/>
      <c r="E177" s="9"/>
      <c r="F177" s="9" t="str">
        <f>IFERROR(__xludf.DUMMYFUNCTION("""COMPUTED_VALUE"""),"Dimas Alwahab")</f>
        <v>Dimas Alwahab</v>
      </c>
      <c r="G177" s="9" t="str">
        <f>IFERROR(__xludf.DUMMYFUNCTION("""COMPUTED_VALUE"""),"7471080202080001")</f>
        <v>7471080202080001</v>
      </c>
      <c r="H177" s="9"/>
      <c r="I177" s="9"/>
      <c r="J177" s="10" t="str">
        <f>IFERROR(__xludf.DUMMYFUNCTION("""COMPUTED_VALUE"""),"LAKI-LAKI")</f>
        <v>LAKI-LAKI</v>
      </c>
      <c r="K177" s="9" t="str">
        <f>IFERROR(__xludf.DUMMYFUNCTION("""COMPUTED_VALUE"""),"Afika Residence Blok R. 06")</f>
        <v>Afika Residence Blok R. 06</v>
      </c>
      <c r="L177" s="9"/>
      <c r="M177" s="9"/>
      <c r="N177" s="8" t="s">
        <v>19</v>
      </c>
      <c r="O177" s="9"/>
      <c r="P177" s="9"/>
      <c r="Q177" s="9"/>
      <c r="R177" s="10" t="str">
        <f>IFERROR(__xludf.DUMMYFUNCTION("""COMPUTED_VALUE"""),"BK")</f>
        <v>BK</v>
      </c>
      <c r="S177" s="9"/>
    </row>
    <row r="178" ht="22.5" customHeight="1">
      <c r="A178" s="6">
        <v>177.0</v>
      </c>
      <c r="B178" s="9" t="str">
        <f>IFERROR(__xludf.DUMMYFUNCTION("""COMPUTED_VALUE"""),"Pemasangan Pembangkit Listrik Tenaga Surya Off-Grid")</f>
        <v>Pemasangan Pembangkit Listrik Tenaga Surya Off-Grid</v>
      </c>
      <c r="C178" s="9" t="str">
        <f>IFERROR(__xludf.DUMMYFUNCTION("""COMPUTED_VALUE"""),"SMK Negeri 2 Kendari")</f>
        <v>SMK Negeri 2 Kendari</v>
      </c>
      <c r="D178" s="9"/>
      <c r="E178" s="9"/>
      <c r="F178" s="9" t="str">
        <f>IFERROR(__xludf.DUMMYFUNCTION("""COMPUTED_VALUE"""),"Irwansyah")</f>
        <v>Irwansyah</v>
      </c>
      <c r="G178" s="9" t="str">
        <f>IFERROR(__xludf.DUMMYFUNCTION("""COMPUTED_VALUE"""),"7471032510070001")</f>
        <v>7471032510070001</v>
      </c>
      <c r="H178" s="9"/>
      <c r="I178" s="9"/>
      <c r="J178" s="10" t="str">
        <f>IFERROR(__xludf.DUMMYFUNCTION("""COMPUTED_VALUE"""),"LAKI-LAKI")</f>
        <v>LAKI-LAKI</v>
      </c>
      <c r="K178" s="9" t="str">
        <f>IFERROR(__xludf.DUMMYFUNCTION("""COMPUTED_VALUE"""),"-")</f>
        <v>-</v>
      </c>
      <c r="L178" s="9"/>
      <c r="M178" s="9"/>
      <c r="N178" s="8" t="s">
        <v>19</v>
      </c>
      <c r="O178" s="9"/>
      <c r="P178" s="9"/>
      <c r="Q178" s="9"/>
      <c r="R178" s="10" t="str">
        <f>IFERROR(__xludf.DUMMYFUNCTION("""COMPUTED_VALUE"""),"K")</f>
        <v>K</v>
      </c>
      <c r="S178" s="9"/>
    </row>
    <row r="179" ht="22.5" customHeight="1">
      <c r="A179" s="6">
        <v>178.0</v>
      </c>
      <c r="B179" s="9" t="str">
        <f>IFERROR(__xludf.DUMMYFUNCTION("""COMPUTED_VALUE"""),"Pemasangan Pembangkit Listrik Tenaga Surya Off-Grid")</f>
        <v>Pemasangan Pembangkit Listrik Tenaga Surya Off-Grid</v>
      </c>
      <c r="C179" s="9" t="str">
        <f>IFERROR(__xludf.DUMMYFUNCTION("""COMPUTED_VALUE"""),"SMK Negeri 2 Kendari")</f>
        <v>SMK Negeri 2 Kendari</v>
      </c>
      <c r="D179" s="9"/>
      <c r="E179" s="9"/>
      <c r="F179" s="9" t="str">
        <f>IFERROR(__xludf.DUMMYFUNCTION("""COMPUTED_VALUE"""),"Muh. Een Abdy Ramadhan")</f>
        <v>Muh. Een Abdy Ramadhan</v>
      </c>
      <c r="G179" s="9" t="str">
        <f>IFERROR(__xludf.DUMMYFUNCTION("""COMPUTED_VALUE"""),"7402362909070001")</f>
        <v>7402362909070001</v>
      </c>
      <c r="H179" s="9"/>
      <c r="I179" s="9"/>
      <c r="J179" s="10" t="str">
        <f>IFERROR(__xludf.DUMMYFUNCTION("""COMPUTED_VALUE"""),"LAKI-LAKI")</f>
        <v>LAKI-LAKI</v>
      </c>
      <c r="K179" s="9" t="str">
        <f>IFERROR(__xludf.DUMMYFUNCTION("""COMPUTED_VALUE"""),"Desa Rapambinopaka")</f>
        <v>Desa Rapambinopaka</v>
      </c>
      <c r="L179" s="9"/>
      <c r="M179" s="9"/>
      <c r="N179" s="8" t="s">
        <v>19</v>
      </c>
      <c r="O179" s="9"/>
      <c r="P179" s="9"/>
      <c r="Q179" s="9"/>
      <c r="R179" s="10" t="str">
        <f>IFERROR(__xludf.DUMMYFUNCTION("""COMPUTED_VALUE"""),"BK")</f>
        <v>BK</v>
      </c>
      <c r="S179" s="9"/>
    </row>
    <row r="180" ht="22.5" customHeight="1">
      <c r="A180" s="6">
        <v>179.0</v>
      </c>
      <c r="B180" s="9" t="str">
        <f>IFERROR(__xludf.DUMMYFUNCTION("""COMPUTED_VALUE"""),"Pemasangan Pembangkit Listrik Tenaga Surya Off-Grid")</f>
        <v>Pemasangan Pembangkit Listrik Tenaga Surya Off-Grid</v>
      </c>
      <c r="C180" s="9" t="str">
        <f>IFERROR(__xludf.DUMMYFUNCTION("""COMPUTED_VALUE"""),"SMK Negeri 2 Kendari")</f>
        <v>SMK Negeri 2 Kendari</v>
      </c>
      <c r="D180" s="9"/>
      <c r="E180" s="9"/>
      <c r="F180" s="9" t="str">
        <f>IFERROR(__xludf.DUMMYFUNCTION("""COMPUTED_VALUE"""),"Muh. Ibrahimovic")</f>
        <v>Muh. Ibrahimovic</v>
      </c>
      <c r="G180" s="9" t="str">
        <f>IFERROR(__xludf.DUMMYFUNCTION("""COMPUTED_VALUE"""),"7471081406080005")</f>
        <v>7471081406080005</v>
      </c>
      <c r="H180" s="9"/>
      <c r="I180" s="9"/>
      <c r="J180" s="10" t="str">
        <f>IFERROR(__xludf.DUMMYFUNCTION("""COMPUTED_VALUE"""),"LAKI-LAKI")</f>
        <v>LAKI-LAKI</v>
      </c>
      <c r="K180" s="9" t="str">
        <f>IFERROR(__xludf.DUMMYFUNCTION("""COMPUTED_VALUE"""),"Jl. Mekar, Lr. Mandiri")</f>
        <v>Jl. Mekar, Lr. Mandiri</v>
      </c>
      <c r="L180" s="9"/>
      <c r="M180" s="9"/>
      <c r="N180" s="8" t="s">
        <v>19</v>
      </c>
      <c r="O180" s="9"/>
      <c r="P180" s="9"/>
      <c r="Q180" s="9"/>
      <c r="R180" s="10" t="str">
        <f>IFERROR(__xludf.DUMMYFUNCTION("""COMPUTED_VALUE"""),"K")</f>
        <v>K</v>
      </c>
      <c r="S180" s="9"/>
    </row>
    <row r="181" ht="22.5" customHeight="1">
      <c r="A181" s="6">
        <v>180.0</v>
      </c>
      <c r="B181" s="9" t="str">
        <f>IFERROR(__xludf.DUMMYFUNCTION("""COMPUTED_VALUE"""),"Pemasangan Pembangkit Listrik Tenaga Surya Off-Grid")</f>
        <v>Pemasangan Pembangkit Listrik Tenaga Surya Off-Grid</v>
      </c>
      <c r="C181" s="9" t="str">
        <f>IFERROR(__xludf.DUMMYFUNCTION("""COMPUTED_VALUE"""),"SMK Negeri 2 Kendari")</f>
        <v>SMK Negeri 2 Kendari</v>
      </c>
      <c r="D181" s="9"/>
      <c r="E181" s="9"/>
      <c r="F181" s="9" t="str">
        <f>IFERROR(__xludf.DUMMYFUNCTION("""COMPUTED_VALUE"""),"Muhammad Rizky Alanshor")</f>
        <v>Muhammad Rizky Alanshor</v>
      </c>
      <c r="G181" s="9" t="str">
        <f>IFERROR(__xludf.DUMMYFUNCTION("""COMPUTED_VALUE"""),"9110011508080001")</f>
        <v>9110011508080001</v>
      </c>
      <c r="H181" s="9"/>
      <c r="I181" s="9"/>
      <c r="J181" s="10" t="str">
        <f>IFERROR(__xludf.DUMMYFUNCTION("""COMPUTED_VALUE"""),"LAKI-LAKI")</f>
        <v>LAKI-LAKI</v>
      </c>
      <c r="K181" s="9" t="str">
        <f>IFERROR(__xludf.DUMMYFUNCTION("""COMPUTED_VALUE"""),"Jl. Chairil Anwar, Wua-Wua")</f>
        <v>Jl. Chairil Anwar, Wua-Wua</v>
      </c>
      <c r="L181" s="9"/>
      <c r="M181" s="9"/>
      <c r="N181" s="8" t="s">
        <v>19</v>
      </c>
      <c r="O181" s="9"/>
      <c r="P181" s="9"/>
      <c r="Q181" s="9"/>
      <c r="R181" s="10" t="str">
        <f>IFERROR(__xludf.DUMMYFUNCTION("""COMPUTED_VALUE"""),"BK")</f>
        <v>BK</v>
      </c>
      <c r="S181" s="9"/>
    </row>
    <row r="182" ht="22.5" customHeight="1">
      <c r="A182" s="6">
        <v>181.0</v>
      </c>
      <c r="B182" s="9" t="str">
        <f>IFERROR(__xludf.DUMMYFUNCTION("""COMPUTED_VALUE"""),"Pemasangan Pembangkit Listrik Tenaga Surya Off-Grid")</f>
        <v>Pemasangan Pembangkit Listrik Tenaga Surya Off-Grid</v>
      </c>
      <c r="C182" s="9" t="str">
        <f>IFERROR(__xludf.DUMMYFUNCTION("""COMPUTED_VALUE"""),"SMK Negeri 2 Kendari")</f>
        <v>SMK Negeri 2 Kendari</v>
      </c>
      <c r="D182" s="9"/>
      <c r="E182" s="9"/>
      <c r="F182" s="9" t="str">
        <f>IFERROR(__xludf.DUMMYFUNCTION("""COMPUTED_VALUE"""),"Reskyawan Saputra")</f>
        <v>Reskyawan Saputra</v>
      </c>
      <c r="G182" s="9" t="str">
        <f>IFERROR(__xludf.DUMMYFUNCTION("""COMPUTED_VALUE"""),"7405011009090003")</f>
        <v>7405011009090003</v>
      </c>
      <c r="H182" s="9"/>
      <c r="I182" s="9"/>
      <c r="J182" s="10" t="str">
        <f>IFERROR(__xludf.DUMMYFUNCTION("""COMPUTED_VALUE"""),"LAKI-LAKI")</f>
        <v>LAKI-LAKI</v>
      </c>
      <c r="K182" s="9" t="str">
        <f>IFERROR(__xludf.DUMMYFUNCTION("""COMPUTED_VALUE"""),"Lorong Durian, Wua-wua")</f>
        <v>Lorong Durian, Wua-wua</v>
      </c>
      <c r="L182" s="9"/>
      <c r="M182" s="9"/>
      <c r="N182" s="8" t="s">
        <v>19</v>
      </c>
      <c r="O182" s="9"/>
      <c r="P182" s="9"/>
      <c r="Q182" s="9"/>
      <c r="R182" s="10" t="str">
        <f>IFERROR(__xludf.DUMMYFUNCTION("""COMPUTED_VALUE"""),"BK")</f>
        <v>BK</v>
      </c>
      <c r="S182" s="9"/>
    </row>
    <row r="183" ht="22.5" customHeight="1">
      <c r="A183" s="6">
        <v>182.0</v>
      </c>
      <c r="B183" s="9" t="str">
        <f>IFERROR(__xludf.DUMMYFUNCTION("""COMPUTED_VALUE"""),"Pemasangan Pembangkit Listrik Tenaga Surya Off-Grid")</f>
        <v>Pemasangan Pembangkit Listrik Tenaga Surya Off-Grid</v>
      </c>
      <c r="C183" s="9" t="str">
        <f>IFERROR(__xludf.DUMMYFUNCTION("""COMPUTED_VALUE"""),"SMK Negeri 2 Kendari")</f>
        <v>SMK Negeri 2 Kendari</v>
      </c>
      <c r="D183" s="9"/>
      <c r="E183" s="9"/>
      <c r="F183" s="9" t="str">
        <f>IFERROR(__xludf.DUMMYFUNCTION("""COMPUTED_VALUE"""),"Riski")</f>
        <v>Riski</v>
      </c>
      <c r="G183" s="9" t="str">
        <f>IFERROR(__xludf.DUMMYFUNCTION("""COMPUTED_VALUE"""),"7471020709070001")</f>
        <v>7471020709070001</v>
      </c>
      <c r="H183" s="9"/>
      <c r="I183" s="9"/>
      <c r="J183" s="10" t="str">
        <f>IFERROR(__xludf.DUMMYFUNCTION("""COMPUTED_VALUE"""),"LAKI-LAKI")</f>
        <v>LAKI-LAKI</v>
      </c>
      <c r="K183" s="9"/>
      <c r="L183" s="9"/>
      <c r="M183" s="9"/>
      <c r="N183" s="8" t="s">
        <v>19</v>
      </c>
      <c r="O183" s="9"/>
      <c r="P183" s="9"/>
      <c r="Q183" s="9"/>
      <c r="R183" s="10" t="str">
        <f>IFERROR(__xludf.DUMMYFUNCTION("""COMPUTED_VALUE"""),"BK")</f>
        <v>BK</v>
      </c>
      <c r="S183" s="9"/>
    </row>
    <row r="184" ht="22.5" customHeight="1">
      <c r="A184" s="6">
        <v>183.0</v>
      </c>
      <c r="B184" s="9" t="str">
        <f>IFERROR(__xludf.DUMMYFUNCTION("""COMPUTED_VALUE"""),"Pemasangan Pembangkit Listrik Tenaga Surya Off-Grid")</f>
        <v>Pemasangan Pembangkit Listrik Tenaga Surya Off-Grid</v>
      </c>
      <c r="C184" s="9" t="str">
        <f>IFERROR(__xludf.DUMMYFUNCTION("""COMPUTED_VALUE"""),"SMK Negeri 2 Kendari")</f>
        <v>SMK Negeri 2 Kendari</v>
      </c>
      <c r="D184" s="9"/>
      <c r="E184" s="9"/>
      <c r="F184" s="9" t="str">
        <f>IFERROR(__xludf.DUMMYFUNCTION("""COMPUTED_VALUE"""),"Yusrin Iswandhani Ilyas")</f>
        <v>Yusrin Iswandhani Ilyas</v>
      </c>
      <c r="G184" s="9" t="str">
        <f>IFERROR(__xludf.DUMMYFUNCTION("""COMPUTED_VALUE"""),"7471061701070001")</f>
        <v>7471061701070001</v>
      </c>
      <c r="H184" s="9"/>
      <c r="I184" s="9"/>
      <c r="J184" s="10" t="str">
        <f>IFERROR(__xludf.DUMMYFUNCTION("""COMPUTED_VALUE"""),"LAKI-LAKI")</f>
        <v>LAKI-LAKI</v>
      </c>
      <c r="K184" s="9" t="str">
        <f>IFERROR(__xludf.DUMMYFUNCTION("""COMPUTED_VALUE"""),"Jl. Konawe, RT.07, RW.04, Kec. Abeli, Kel. Abeli")</f>
        <v>Jl. Konawe, RT.07, RW.04, Kec. Abeli, Kel. Abeli</v>
      </c>
      <c r="L184" s="9"/>
      <c r="M184" s="9"/>
      <c r="N184" s="8" t="s">
        <v>19</v>
      </c>
      <c r="O184" s="9"/>
      <c r="P184" s="9"/>
      <c r="Q184" s="9"/>
      <c r="R184" s="10" t="str">
        <f>IFERROR(__xludf.DUMMYFUNCTION("""COMPUTED_VALUE"""),"BK")</f>
        <v>BK</v>
      </c>
      <c r="S184" s="9"/>
    </row>
    <row r="185" ht="22.5" customHeight="1">
      <c r="A185" s="6">
        <v>184.0</v>
      </c>
      <c r="B185" s="9" t="str">
        <f>IFERROR(__xludf.DUMMYFUNCTION("""COMPUTED_VALUE"""),"Pemasangan Instalasi Listrik Bangunan Sederhana")</f>
        <v>Pemasangan Instalasi Listrik Bangunan Sederhana</v>
      </c>
      <c r="C185" s="9" t="str">
        <f>IFERROR(__xludf.DUMMYFUNCTION("""COMPUTED_VALUE"""),"SMK Negeri 2 Kendari")</f>
        <v>SMK Negeri 2 Kendari</v>
      </c>
      <c r="D185" s="9"/>
      <c r="E185" s="9"/>
      <c r="F185" s="9" t="str">
        <f>IFERROR(__xludf.DUMMYFUNCTION("""COMPUTED_VALUE"""),"Agil Januansar")</f>
        <v>Agil Januansar</v>
      </c>
      <c r="G185" s="9" t="str">
        <f>IFERROR(__xludf.DUMMYFUNCTION("""COMPUTED_VALUE"""),"7405040107070004")</f>
        <v>7405040107070004</v>
      </c>
      <c r="H185" s="9"/>
      <c r="I185" s="9"/>
      <c r="J185" s="10" t="str">
        <f>IFERROR(__xludf.DUMMYFUNCTION("""COMPUTED_VALUE"""),"LAKI-LAKI")</f>
        <v>LAKI-LAKI</v>
      </c>
      <c r="K185" s="9" t="str">
        <f>IFERROR(__xludf.DUMMYFUNCTION("""COMPUTED_VALUE"""),"Hombis/Alo Jaya")</f>
        <v>Hombis/Alo Jaya</v>
      </c>
      <c r="L185" s="9"/>
      <c r="M185" s="9"/>
      <c r="N185" s="8" t="s">
        <v>19</v>
      </c>
      <c r="O185" s="9"/>
      <c r="P185" s="9"/>
      <c r="Q185" s="9"/>
      <c r="R185" s="10" t="str">
        <f>IFERROR(__xludf.DUMMYFUNCTION("""COMPUTED_VALUE"""),"BK")</f>
        <v>BK</v>
      </c>
      <c r="S185" s="9"/>
    </row>
    <row r="186" ht="22.5" customHeight="1">
      <c r="A186" s="6">
        <v>185.0</v>
      </c>
      <c r="B186" s="9" t="str">
        <f>IFERROR(__xludf.DUMMYFUNCTION("""COMPUTED_VALUE"""),"Pemasangan Instalasi Listrik Bangunan Sederhana")</f>
        <v>Pemasangan Instalasi Listrik Bangunan Sederhana</v>
      </c>
      <c r="C186" s="9" t="str">
        <f>IFERROR(__xludf.DUMMYFUNCTION("""COMPUTED_VALUE"""),"SMK Negeri 2 Kendari")</f>
        <v>SMK Negeri 2 Kendari</v>
      </c>
      <c r="D186" s="9"/>
      <c r="E186" s="9"/>
      <c r="F186" s="9" t="str">
        <f>IFERROR(__xludf.DUMMYFUNCTION("""COMPUTED_VALUE"""),"Agyas Rindang Wula")</f>
        <v>Agyas Rindang Wula</v>
      </c>
      <c r="G186" s="9" t="str">
        <f>IFERROR(__xludf.DUMMYFUNCTION("""COMPUTED_VALUE"""),"7402020505080003")</f>
        <v>7402020505080003</v>
      </c>
      <c r="H186" s="9"/>
      <c r="I186" s="9"/>
      <c r="J186" s="10" t="str">
        <f>IFERROR(__xludf.DUMMYFUNCTION("""COMPUTED_VALUE"""),"LAKI-LAKI")</f>
        <v>LAKI-LAKI</v>
      </c>
      <c r="K186" s="9" t="str">
        <f>IFERROR(__xludf.DUMMYFUNCTION("""COMPUTED_VALUE"""),"BTN Beringin, Jln. D.I Panjaitan")</f>
        <v>BTN Beringin, Jln. D.I Panjaitan</v>
      </c>
      <c r="L186" s="9"/>
      <c r="M186" s="9"/>
      <c r="N186" s="8" t="s">
        <v>19</v>
      </c>
      <c r="O186" s="9"/>
      <c r="P186" s="9"/>
      <c r="Q186" s="9"/>
      <c r="R186" s="10" t="str">
        <f>IFERROR(__xludf.DUMMYFUNCTION("""COMPUTED_VALUE"""),"K")</f>
        <v>K</v>
      </c>
      <c r="S186" s="9"/>
    </row>
    <row r="187" ht="22.5" customHeight="1">
      <c r="A187" s="6">
        <v>186.0</v>
      </c>
      <c r="B187" s="9" t="str">
        <f>IFERROR(__xludf.DUMMYFUNCTION("""COMPUTED_VALUE"""),"Pemasangan Instalasi Listrik Bangunan Sederhana")</f>
        <v>Pemasangan Instalasi Listrik Bangunan Sederhana</v>
      </c>
      <c r="C187" s="9" t="str">
        <f>IFERROR(__xludf.DUMMYFUNCTION("""COMPUTED_VALUE"""),"SMK Negeri 2 Kendari")</f>
        <v>SMK Negeri 2 Kendari</v>
      </c>
      <c r="D187" s="9"/>
      <c r="E187" s="9"/>
      <c r="F187" s="9" t="str">
        <f>IFERROR(__xludf.DUMMYFUNCTION("""COMPUTED_VALUE"""),"Ahmad Aditya Putra")</f>
        <v>Ahmad Aditya Putra</v>
      </c>
      <c r="G187" s="9" t="str">
        <f>IFERROR(__xludf.DUMMYFUNCTION("""COMPUTED_VALUE"""),"7471082704080002")</f>
        <v>7471082704080002</v>
      </c>
      <c r="H187" s="9"/>
      <c r="I187" s="9"/>
      <c r="J187" s="10" t="str">
        <f>IFERROR(__xludf.DUMMYFUNCTION("""COMPUTED_VALUE"""),"LAKI-LAKI")</f>
        <v>LAKI-LAKI</v>
      </c>
      <c r="K187" s="9" t="str">
        <f>IFERROR(__xludf.DUMMYFUNCTION("""COMPUTED_VALUE"""),"Jl. Prof. M. Yamin")</f>
        <v>Jl. Prof. M. Yamin</v>
      </c>
      <c r="L187" s="9"/>
      <c r="M187" s="9"/>
      <c r="N187" s="8" t="s">
        <v>19</v>
      </c>
      <c r="O187" s="9"/>
      <c r="P187" s="9"/>
      <c r="Q187" s="9"/>
      <c r="R187" s="10" t="str">
        <f>IFERROR(__xludf.DUMMYFUNCTION("""COMPUTED_VALUE"""),"BK")</f>
        <v>BK</v>
      </c>
      <c r="S187" s="9"/>
    </row>
    <row r="188" ht="22.5" customHeight="1">
      <c r="A188" s="6">
        <v>187.0</v>
      </c>
      <c r="B188" s="9" t="str">
        <f>IFERROR(__xludf.DUMMYFUNCTION("""COMPUTED_VALUE"""),"Pemasangan Instalasi Listrik Bangunan Sederhana")</f>
        <v>Pemasangan Instalasi Listrik Bangunan Sederhana</v>
      </c>
      <c r="C188" s="9" t="str">
        <f>IFERROR(__xludf.DUMMYFUNCTION("""COMPUTED_VALUE"""),"SMK Negeri 2 Kendari")</f>
        <v>SMK Negeri 2 Kendari</v>
      </c>
      <c r="D188" s="9"/>
      <c r="E188" s="9"/>
      <c r="F188" s="9" t="str">
        <f>IFERROR(__xludf.DUMMYFUNCTION("""COMPUTED_VALUE"""),"Ahmad Syukur")</f>
        <v>Ahmad Syukur</v>
      </c>
      <c r="G188" s="9" t="str">
        <f>IFERROR(__xludf.DUMMYFUNCTION("""COMPUTED_VALUE"""),"7471102704080001")</f>
        <v>7471102704080001</v>
      </c>
      <c r="H188" s="9"/>
      <c r="I188" s="9"/>
      <c r="J188" s="10" t="str">
        <f>IFERROR(__xludf.DUMMYFUNCTION("""COMPUTED_VALUE"""),"LAKI-LAKI")</f>
        <v>LAKI-LAKI</v>
      </c>
      <c r="K188" s="9" t="str">
        <f>IFERROR(__xludf.DUMMYFUNCTION("""COMPUTED_VALUE"""),"JL. Lumba-lumba")</f>
        <v>JL. Lumba-lumba</v>
      </c>
      <c r="L188" s="9"/>
      <c r="M188" s="9"/>
      <c r="N188" s="8" t="s">
        <v>19</v>
      </c>
      <c r="O188" s="9"/>
      <c r="P188" s="9"/>
      <c r="Q188" s="9"/>
      <c r="R188" s="10" t="str">
        <f>IFERROR(__xludf.DUMMYFUNCTION("""COMPUTED_VALUE"""),"BK")</f>
        <v>BK</v>
      </c>
      <c r="S188" s="9"/>
    </row>
    <row r="189" ht="22.5" customHeight="1">
      <c r="A189" s="6">
        <v>188.0</v>
      </c>
      <c r="B189" s="9" t="str">
        <f>IFERROR(__xludf.DUMMYFUNCTION("""COMPUTED_VALUE"""),"Pemasangan Instalasi Listrik Bangunan Sederhana")</f>
        <v>Pemasangan Instalasi Listrik Bangunan Sederhana</v>
      </c>
      <c r="C189" s="9" t="str">
        <f>IFERROR(__xludf.DUMMYFUNCTION("""COMPUTED_VALUE"""),"SMK Negeri 2 Kendari")</f>
        <v>SMK Negeri 2 Kendari</v>
      </c>
      <c r="D189" s="9"/>
      <c r="E189" s="9"/>
      <c r="F189" s="9" t="str">
        <f>IFERROR(__xludf.DUMMYFUNCTION("""COMPUTED_VALUE"""),"Aldi Agus Pratama")</f>
        <v>Aldi Agus Pratama</v>
      </c>
      <c r="G189" s="9" t="str">
        <f>IFERROR(__xludf.DUMMYFUNCTION("""COMPUTED_VALUE"""),"7471071508060002")</f>
        <v>7471071508060002</v>
      </c>
      <c r="H189" s="9"/>
      <c r="I189" s="9"/>
      <c r="J189" s="10" t="str">
        <f>IFERROR(__xludf.DUMMYFUNCTION("""COMPUTED_VALUE"""),"LAKI-LAKI")</f>
        <v>LAKI-LAKI</v>
      </c>
      <c r="K189" s="9" t="str">
        <f>IFERROR(__xludf.DUMMYFUNCTION("""COMPUTED_VALUE"""),"Jl. Wayong")</f>
        <v>Jl. Wayong</v>
      </c>
      <c r="L189" s="9"/>
      <c r="M189" s="9"/>
      <c r="N189" s="8" t="s">
        <v>19</v>
      </c>
      <c r="O189" s="9"/>
      <c r="P189" s="9"/>
      <c r="Q189" s="9"/>
      <c r="R189" s="10" t="str">
        <f>IFERROR(__xludf.DUMMYFUNCTION("""COMPUTED_VALUE"""),"BK")</f>
        <v>BK</v>
      </c>
      <c r="S189" s="9"/>
    </row>
    <row r="190" ht="22.5" customHeight="1">
      <c r="A190" s="6">
        <v>189.0</v>
      </c>
      <c r="B190" s="9" t="str">
        <f>IFERROR(__xludf.DUMMYFUNCTION("""COMPUTED_VALUE"""),"Pemasangan Instalasi Listrik Bangunan Sederhana")</f>
        <v>Pemasangan Instalasi Listrik Bangunan Sederhana</v>
      </c>
      <c r="C190" s="9" t="str">
        <f>IFERROR(__xludf.DUMMYFUNCTION("""COMPUTED_VALUE"""),"SMK Negeri 2 Kendari")</f>
        <v>SMK Negeri 2 Kendari</v>
      </c>
      <c r="D190" s="9"/>
      <c r="E190" s="9"/>
      <c r="F190" s="9" t="str">
        <f>IFERROR(__xludf.DUMMYFUNCTION("""COMPUTED_VALUE"""),"Alfaiz Ayatullah")</f>
        <v>Alfaiz Ayatullah</v>
      </c>
      <c r="G190" s="9" t="str">
        <f>IFERROR(__xludf.DUMMYFUNCTION("""COMPUTED_VALUE"""),"7471050112070005")</f>
        <v>7471050112070005</v>
      </c>
      <c r="H190" s="9"/>
      <c r="I190" s="9"/>
      <c r="J190" s="10" t="str">
        <f>IFERROR(__xludf.DUMMYFUNCTION("""COMPUTED_VALUE"""),"LAKI-LAKI")</f>
        <v>LAKI-LAKI</v>
      </c>
      <c r="K190" s="9" t="str">
        <f>IFERROR(__xludf.DUMMYFUNCTION("""COMPUTED_VALUE"""),"BTN Permata Anawai Blok C5/6")</f>
        <v>BTN Permata Anawai Blok C5/6</v>
      </c>
      <c r="L190" s="9"/>
      <c r="M190" s="9"/>
      <c r="N190" s="8" t="s">
        <v>19</v>
      </c>
      <c r="O190" s="9"/>
      <c r="P190" s="9"/>
      <c r="Q190" s="9"/>
      <c r="R190" s="10" t="str">
        <f>IFERROR(__xludf.DUMMYFUNCTION("""COMPUTED_VALUE"""),"K")</f>
        <v>K</v>
      </c>
      <c r="S190" s="9"/>
    </row>
    <row r="191" ht="22.5" customHeight="1">
      <c r="A191" s="6">
        <v>190.0</v>
      </c>
      <c r="B191" s="9" t="str">
        <f>IFERROR(__xludf.DUMMYFUNCTION("""COMPUTED_VALUE"""),"Pemasangan Instalasi Listrik Bangunan Sederhana")</f>
        <v>Pemasangan Instalasi Listrik Bangunan Sederhana</v>
      </c>
      <c r="C191" s="9" t="str">
        <f>IFERROR(__xludf.DUMMYFUNCTION("""COMPUTED_VALUE"""),"SMK Negeri 2 Kendari")</f>
        <v>SMK Negeri 2 Kendari</v>
      </c>
      <c r="D191" s="9"/>
      <c r="E191" s="9"/>
      <c r="F191" s="9" t="str">
        <f>IFERROR(__xludf.DUMMYFUNCTION("""COMPUTED_VALUE"""),"Anak Agung Raka Suar Bawa")</f>
        <v>Anak Agung Raka Suar Bawa</v>
      </c>
      <c r="G191" s="9" t="str">
        <f>IFERROR(__xludf.DUMMYFUNCTION("""COMPUTED_VALUE"""),"7402282210060001")</f>
        <v>7402282210060001</v>
      </c>
      <c r="H191" s="9"/>
      <c r="I191" s="9"/>
      <c r="J191" s="10" t="str">
        <f>IFERROR(__xludf.DUMMYFUNCTION("""COMPUTED_VALUE"""),"LAKI-LAKI")</f>
        <v>LAKI-LAKI</v>
      </c>
      <c r="K191" s="9" t="str">
        <f>IFERROR(__xludf.DUMMYFUNCTION("""COMPUTED_VALUE"""),"Desa Puasana")</f>
        <v>Desa Puasana</v>
      </c>
      <c r="L191" s="9"/>
      <c r="M191" s="9"/>
      <c r="N191" s="8" t="s">
        <v>19</v>
      </c>
      <c r="O191" s="9"/>
      <c r="P191" s="9"/>
      <c r="Q191" s="9"/>
      <c r="R191" s="10" t="str">
        <f>IFERROR(__xludf.DUMMYFUNCTION("""COMPUTED_VALUE"""),"BK")</f>
        <v>BK</v>
      </c>
      <c r="S191" s="9"/>
    </row>
    <row r="192" ht="22.5" customHeight="1">
      <c r="A192" s="6">
        <v>191.0</v>
      </c>
      <c r="B192" s="9" t="str">
        <f>IFERROR(__xludf.DUMMYFUNCTION("""COMPUTED_VALUE"""),"Pemasangan Instalasi Listrik Bangunan Sederhana")</f>
        <v>Pemasangan Instalasi Listrik Bangunan Sederhana</v>
      </c>
      <c r="C192" s="9" t="str">
        <f>IFERROR(__xludf.DUMMYFUNCTION("""COMPUTED_VALUE"""),"SMK Negeri 2 Kendari")</f>
        <v>SMK Negeri 2 Kendari</v>
      </c>
      <c r="D192" s="9"/>
      <c r="E192" s="9"/>
      <c r="F192" s="9" t="str">
        <f>IFERROR(__xludf.DUMMYFUNCTION("""COMPUTED_VALUE"""),"Andi Ilham Pratama")</f>
        <v>Andi Ilham Pratama</v>
      </c>
      <c r="G192" s="9" t="str">
        <f>IFERROR(__xludf.DUMMYFUNCTION("""COMPUTED_VALUE"""),"7471030810080001")</f>
        <v>7471030810080001</v>
      </c>
      <c r="H192" s="9"/>
      <c r="I192" s="9"/>
      <c r="J192" s="10" t="str">
        <f>IFERROR(__xludf.DUMMYFUNCTION("""COMPUTED_VALUE"""),"LAKI-LAKI")</f>
        <v>LAKI-LAKI</v>
      </c>
      <c r="K192" s="9" t="str">
        <f>IFERROR(__xludf.DUMMYFUNCTION("""COMPUTED_VALUE"""),"BTN Lepo-Lepo Permai")</f>
        <v>BTN Lepo-Lepo Permai</v>
      </c>
      <c r="L192" s="9"/>
      <c r="M192" s="9"/>
      <c r="N192" s="8" t="s">
        <v>19</v>
      </c>
      <c r="O192" s="9"/>
      <c r="P192" s="9"/>
      <c r="Q192" s="9"/>
      <c r="R192" s="10" t="str">
        <f>IFERROR(__xludf.DUMMYFUNCTION("""COMPUTED_VALUE"""),"BK")</f>
        <v>BK</v>
      </c>
      <c r="S192" s="9"/>
    </row>
    <row r="193" ht="22.5" customHeight="1">
      <c r="A193" s="6">
        <v>192.0</v>
      </c>
      <c r="B193" s="9" t="str">
        <f>IFERROR(__xludf.DUMMYFUNCTION("""COMPUTED_VALUE"""),"Pemasangan Instalasi Listrik Bangunan Sederhana")</f>
        <v>Pemasangan Instalasi Listrik Bangunan Sederhana</v>
      </c>
      <c r="C193" s="9" t="str">
        <f>IFERROR(__xludf.DUMMYFUNCTION("""COMPUTED_VALUE"""),"SMK Negeri 2 Kendari")</f>
        <v>SMK Negeri 2 Kendari</v>
      </c>
      <c r="D193" s="9"/>
      <c r="E193" s="9"/>
      <c r="F193" s="9" t="str">
        <f>IFERROR(__xludf.DUMMYFUNCTION("""COMPUTED_VALUE"""),"Firman")</f>
        <v>Firman</v>
      </c>
      <c r="G193" s="9" t="str">
        <f>IFERROR(__xludf.DUMMYFUNCTION("""COMPUTED_VALUE"""),"7471073108080001")</f>
        <v>7471073108080001</v>
      </c>
      <c r="H193" s="9"/>
      <c r="I193" s="9"/>
      <c r="J193" s="10" t="str">
        <f>IFERROR(__xludf.DUMMYFUNCTION("""COMPUTED_VALUE"""),"LAKI-LAKI")</f>
        <v>LAKI-LAKI</v>
      </c>
      <c r="K193" s="9" t="str">
        <f>IFERROR(__xludf.DUMMYFUNCTION("""COMPUTED_VALUE"""),"Jl. Subsidi")</f>
        <v>Jl. Subsidi</v>
      </c>
      <c r="L193" s="9"/>
      <c r="M193" s="9"/>
      <c r="N193" s="8" t="s">
        <v>19</v>
      </c>
      <c r="O193" s="9"/>
      <c r="P193" s="9"/>
      <c r="Q193" s="9"/>
      <c r="R193" s="10" t="str">
        <f>IFERROR(__xludf.DUMMYFUNCTION("""COMPUTED_VALUE"""),"K")</f>
        <v>K</v>
      </c>
      <c r="S193" s="9"/>
    </row>
    <row r="194" ht="22.5" customHeight="1">
      <c r="A194" s="6">
        <v>193.0</v>
      </c>
      <c r="B194" s="9" t="str">
        <f>IFERROR(__xludf.DUMMYFUNCTION("""COMPUTED_VALUE"""),"Pemasangan Instalasi Listrik Bangunan Sederhana")</f>
        <v>Pemasangan Instalasi Listrik Bangunan Sederhana</v>
      </c>
      <c r="C194" s="9" t="str">
        <f>IFERROR(__xludf.DUMMYFUNCTION("""COMPUTED_VALUE"""),"SMK Negeri 2 Kendari")</f>
        <v>SMK Negeri 2 Kendari</v>
      </c>
      <c r="D194" s="9"/>
      <c r="E194" s="9"/>
      <c r="F194" s="9" t="str">
        <f>IFERROR(__xludf.DUMMYFUNCTION("""COMPUTED_VALUE"""),"I Wayan Bayu Trisna Saputra")</f>
        <v>I Wayan Bayu Trisna Saputra</v>
      </c>
      <c r="G194" s="9" t="str">
        <f>IFERROR(__xludf.DUMMYFUNCTION("""COMPUTED_VALUE"""),"7402280909080001")</f>
        <v>7402280909080001</v>
      </c>
      <c r="H194" s="9"/>
      <c r="I194" s="9"/>
      <c r="J194" s="10" t="str">
        <f>IFERROR(__xludf.DUMMYFUNCTION("""COMPUTED_VALUE"""),"LAKI-LAKI")</f>
        <v>LAKI-LAKI</v>
      </c>
      <c r="K194" s="9" t="str">
        <f>IFERROR(__xludf.DUMMYFUNCTION("""COMPUTED_VALUE"""),"Ulu Benua")</f>
        <v>Ulu Benua</v>
      </c>
      <c r="L194" s="9"/>
      <c r="M194" s="9"/>
      <c r="N194" s="8" t="s">
        <v>19</v>
      </c>
      <c r="O194" s="9"/>
      <c r="P194" s="9"/>
      <c r="Q194" s="9"/>
      <c r="R194" s="10" t="str">
        <f>IFERROR(__xludf.DUMMYFUNCTION("""COMPUTED_VALUE"""),"K")</f>
        <v>K</v>
      </c>
      <c r="S194" s="9"/>
    </row>
    <row r="195" ht="22.5" customHeight="1">
      <c r="A195" s="6">
        <v>194.0</v>
      </c>
      <c r="B195" s="9" t="str">
        <f>IFERROR(__xludf.DUMMYFUNCTION("""COMPUTED_VALUE"""),"Pemasangan Instalasi Listrik Bangunan Sederhana")</f>
        <v>Pemasangan Instalasi Listrik Bangunan Sederhana</v>
      </c>
      <c r="C195" s="9" t="str">
        <f>IFERROR(__xludf.DUMMYFUNCTION("""COMPUTED_VALUE"""),"SMK Negeri 2 Kendari")</f>
        <v>SMK Negeri 2 Kendari</v>
      </c>
      <c r="D195" s="9"/>
      <c r="E195" s="9"/>
      <c r="F195" s="9" t="str">
        <f>IFERROR(__xludf.DUMMYFUNCTION("""COMPUTED_VALUE"""),"La Ode Alfa Diyansah")</f>
        <v>La Ode Alfa Diyansah</v>
      </c>
      <c r="G195" s="9" t="str">
        <f>IFERROR(__xludf.DUMMYFUNCTION("""COMPUTED_VALUE"""),"7403062607080001")</f>
        <v>7403062607080001</v>
      </c>
      <c r="H195" s="9"/>
      <c r="I195" s="9"/>
      <c r="J195" s="10" t="str">
        <f>IFERROR(__xludf.DUMMYFUNCTION("""COMPUTED_VALUE"""),"LAKI-LAKI")</f>
        <v>LAKI-LAKI</v>
      </c>
      <c r="K195" s="9" t="str">
        <f>IFERROR(__xludf.DUMMYFUNCTION("""COMPUTED_VALUE"""),"Kendari Barat, Jl. Mayjen Sutoyo")</f>
        <v>Kendari Barat, Jl. Mayjen Sutoyo</v>
      </c>
      <c r="L195" s="9"/>
      <c r="M195" s="9"/>
      <c r="N195" s="8" t="s">
        <v>19</v>
      </c>
      <c r="O195" s="9"/>
      <c r="P195" s="9"/>
      <c r="Q195" s="9"/>
      <c r="R195" s="10" t="str">
        <f>IFERROR(__xludf.DUMMYFUNCTION("""COMPUTED_VALUE"""),"K")</f>
        <v>K</v>
      </c>
      <c r="S195" s="9"/>
    </row>
    <row r="196" ht="22.5" customHeight="1">
      <c r="A196" s="6">
        <v>195.0</v>
      </c>
      <c r="B196" s="9" t="str">
        <f>IFERROR(__xludf.DUMMYFUNCTION("""COMPUTED_VALUE"""),"Pemasangan Instalasi Listrik Bangunan Sederhana")</f>
        <v>Pemasangan Instalasi Listrik Bangunan Sederhana</v>
      </c>
      <c r="C196" s="9" t="str">
        <f>IFERROR(__xludf.DUMMYFUNCTION("""COMPUTED_VALUE"""),"SMK Negeri 2 Kendari")</f>
        <v>SMK Negeri 2 Kendari</v>
      </c>
      <c r="D196" s="9"/>
      <c r="E196" s="9"/>
      <c r="F196" s="9" t="str">
        <f>IFERROR(__xludf.DUMMYFUNCTION("""COMPUTED_VALUE"""),"M. Akmal Afif Nawawi")</f>
        <v>M. Akmal Afif Nawawi</v>
      </c>
      <c r="G196" s="9" t="str">
        <f>IFERROR(__xludf.DUMMYFUNCTION("""COMPUTED_VALUE"""),"7371132705080002")</f>
        <v>7371132705080002</v>
      </c>
      <c r="H196" s="9"/>
      <c r="I196" s="9"/>
      <c r="J196" s="10" t="str">
        <f>IFERROR(__xludf.DUMMYFUNCTION("""COMPUTED_VALUE"""),"LAKI-LAKI")</f>
        <v>LAKI-LAKI</v>
      </c>
      <c r="K196" s="9" t="str">
        <f>IFERROR(__xludf.DUMMYFUNCTION("""COMPUTED_VALUE"""),"Jl. Imam Bonjol")</f>
        <v>Jl. Imam Bonjol</v>
      </c>
      <c r="L196" s="9"/>
      <c r="M196" s="9"/>
      <c r="N196" s="8" t="s">
        <v>19</v>
      </c>
      <c r="O196" s="9"/>
      <c r="P196" s="9"/>
      <c r="Q196" s="9"/>
      <c r="R196" s="10" t="str">
        <f>IFERROR(__xludf.DUMMYFUNCTION("""COMPUTED_VALUE"""),"K")</f>
        <v>K</v>
      </c>
      <c r="S196" s="9"/>
    </row>
    <row r="197" ht="22.5" customHeight="1">
      <c r="A197" s="6">
        <v>196.0</v>
      </c>
      <c r="B197" s="9" t="str">
        <f>IFERROR(__xludf.DUMMYFUNCTION("""COMPUTED_VALUE"""),"Pemasangan Instalasi Listrik Bangunan Sederhana")</f>
        <v>Pemasangan Instalasi Listrik Bangunan Sederhana</v>
      </c>
      <c r="C197" s="9" t="str">
        <f>IFERROR(__xludf.DUMMYFUNCTION("""COMPUTED_VALUE"""),"SMK Negeri 2 Kendari")</f>
        <v>SMK Negeri 2 Kendari</v>
      </c>
      <c r="D197" s="9"/>
      <c r="E197" s="9"/>
      <c r="F197" s="9" t="str">
        <f>IFERROR(__xludf.DUMMYFUNCTION("""COMPUTED_VALUE"""),"Muafa Raihanul Islam Malaka")</f>
        <v>Muafa Raihanul Islam Malaka</v>
      </c>
      <c r="G197" s="9" t="str">
        <f>IFERROR(__xludf.DUMMYFUNCTION("""COMPUTED_VALUE"""),"7405075608080001")</f>
        <v>7405075608080001</v>
      </c>
      <c r="H197" s="9"/>
      <c r="I197" s="9"/>
      <c r="J197" s="10" t="str">
        <f>IFERROR(__xludf.DUMMYFUNCTION("""COMPUTED_VALUE"""),"PEREMPUAN")</f>
        <v>PEREMPUAN</v>
      </c>
      <c r="K197" s="9" t="str">
        <f>IFERROR(__xludf.DUMMYFUNCTION("""COMPUTED_VALUE"""),"Jl. Tunggala")</f>
        <v>Jl. Tunggala</v>
      </c>
      <c r="L197" s="9"/>
      <c r="M197" s="9"/>
      <c r="N197" s="8" t="s">
        <v>19</v>
      </c>
      <c r="O197" s="9"/>
      <c r="P197" s="9"/>
      <c r="Q197" s="9"/>
      <c r="R197" s="10" t="str">
        <f>IFERROR(__xludf.DUMMYFUNCTION("""COMPUTED_VALUE"""),"K")</f>
        <v>K</v>
      </c>
      <c r="S197" s="9"/>
    </row>
    <row r="198" ht="22.5" customHeight="1">
      <c r="A198" s="6">
        <v>197.0</v>
      </c>
      <c r="B198" s="9" t="str">
        <f>IFERROR(__xludf.DUMMYFUNCTION("""COMPUTED_VALUE"""),"Pemasangan Instalasi Listrik Bangunan Sederhana")</f>
        <v>Pemasangan Instalasi Listrik Bangunan Sederhana</v>
      </c>
      <c r="C198" s="9" t="str">
        <f>IFERROR(__xludf.DUMMYFUNCTION("""COMPUTED_VALUE"""),"SMK Negeri 2 Kendari")</f>
        <v>SMK Negeri 2 Kendari</v>
      </c>
      <c r="D198" s="9"/>
      <c r="E198" s="9"/>
      <c r="F198" s="9" t="str">
        <f>IFERROR(__xludf.DUMMYFUNCTION("""COMPUTED_VALUE"""),"Muh Almer Abbas")</f>
        <v>Muh Almer Abbas</v>
      </c>
      <c r="G198" s="9" t="str">
        <f>IFERROR(__xludf.DUMMYFUNCTION("""COMPUTED_VALUE"""),"7471010211080002")</f>
        <v>7471010211080002</v>
      </c>
      <c r="H198" s="9"/>
      <c r="I198" s="9"/>
      <c r="J198" s="10" t="str">
        <f>IFERROR(__xludf.DUMMYFUNCTION("""COMPUTED_VALUE"""),"LAKI-LAKI")</f>
        <v>LAKI-LAKI</v>
      </c>
      <c r="K198" s="9" t="str">
        <f>IFERROR(__xludf.DUMMYFUNCTION("""COMPUTED_VALUE"""),"Jl. Sewetigading, Kec. Mandonga, Kota Kendari, Sulawesi Tenggara")</f>
        <v>Jl. Sewetigading, Kec. Mandonga, Kota Kendari, Sulawesi Tenggara</v>
      </c>
      <c r="L198" s="9"/>
      <c r="M198" s="9"/>
      <c r="N198" s="8" t="s">
        <v>19</v>
      </c>
      <c r="O198" s="9"/>
      <c r="P198" s="9"/>
      <c r="Q198" s="9"/>
      <c r="R198" s="10" t="str">
        <f>IFERROR(__xludf.DUMMYFUNCTION("""COMPUTED_VALUE"""),"BK")</f>
        <v>BK</v>
      </c>
      <c r="S198" s="9"/>
    </row>
    <row r="199" ht="22.5" customHeight="1">
      <c r="A199" s="6">
        <v>198.0</v>
      </c>
      <c r="B199" s="9" t="str">
        <f>IFERROR(__xludf.DUMMYFUNCTION("""COMPUTED_VALUE"""),"Pemasangan Instalasi Listrik Bangunan Sederhana")</f>
        <v>Pemasangan Instalasi Listrik Bangunan Sederhana</v>
      </c>
      <c r="C199" s="9" t="str">
        <f>IFERROR(__xludf.DUMMYFUNCTION("""COMPUTED_VALUE"""),"SMK Negeri 2 Kendari")</f>
        <v>SMK Negeri 2 Kendari</v>
      </c>
      <c r="D199" s="9"/>
      <c r="E199" s="9"/>
      <c r="F199" s="9" t="str">
        <f>IFERROR(__xludf.DUMMYFUNCTION("""COMPUTED_VALUE"""),"Muh. Ayyubi Al Fariq")</f>
        <v>Muh. Ayyubi Al Fariq</v>
      </c>
      <c r="G199" s="9" t="str">
        <f>IFERROR(__xludf.DUMMYFUNCTION("""COMPUTED_VALUE"""),"7471093003080002")</f>
        <v>7471093003080002</v>
      </c>
      <c r="H199" s="9"/>
      <c r="I199" s="9"/>
      <c r="J199" s="10" t="str">
        <f>IFERROR(__xludf.DUMMYFUNCTION("""COMPUTED_VALUE"""),"LAKI-LAKI")</f>
        <v>LAKI-LAKI</v>
      </c>
      <c r="K199" s="9" t="str">
        <f>IFERROR(__xludf.DUMMYFUNCTION("""COMPUTED_VALUE"""),"BTN Permata Anawai Blok A9/12")</f>
        <v>BTN Permata Anawai Blok A9/12</v>
      </c>
      <c r="L199" s="9"/>
      <c r="M199" s="9"/>
      <c r="N199" s="8" t="s">
        <v>19</v>
      </c>
      <c r="O199" s="9"/>
      <c r="P199" s="9"/>
      <c r="Q199" s="9"/>
      <c r="R199" s="10" t="str">
        <f>IFERROR(__xludf.DUMMYFUNCTION("""COMPUTED_VALUE"""),"BK")</f>
        <v>BK</v>
      </c>
      <c r="S199" s="9"/>
    </row>
    <row r="200" ht="22.5" customHeight="1">
      <c r="A200" s="6">
        <v>199.0</v>
      </c>
      <c r="B200" s="9" t="str">
        <f>IFERROR(__xludf.DUMMYFUNCTION("""COMPUTED_VALUE"""),"Pemasangan Instalasi Listrik Bangunan Sederhana")</f>
        <v>Pemasangan Instalasi Listrik Bangunan Sederhana</v>
      </c>
      <c r="C200" s="9" t="str">
        <f>IFERROR(__xludf.DUMMYFUNCTION("""COMPUTED_VALUE"""),"SMK Negeri 2 Kendari")</f>
        <v>SMK Negeri 2 Kendari</v>
      </c>
      <c r="D200" s="9"/>
      <c r="E200" s="9"/>
      <c r="F200" s="9" t="str">
        <f>IFERROR(__xludf.DUMMYFUNCTION("""COMPUTED_VALUE"""),"Muh. Fairuz Febrian K.")</f>
        <v>Muh. Fairuz Febrian K.</v>
      </c>
      <c r="G200" s="9" t="str">
        <f>IFERROR(__xludf.DUMMYFUNCTION("""COMPUTED_VALUE"""),"7471081202080003")</f>
        <v>7471081202080003</v>
      </c>
      <c r="H200" s="9"/>
      <c r="I200" s="9"/>
      <c r="J200" s="10" t="str">
        <f>IFERROR(__xludf.DUMMYFUNCTION("""COMPUTED_VALUE"""),"LAKI-LAKI")</f>
        <v>LAKI-LAKI</v>
      </c>
      <c r="K200" s="9" t="str">
        <f>IFERROR(__xludf.DUMMYFUNCTION("""COMPUTED_VALUE"""),"Jl. Brigjend M. Yoenoes No. 191")</f>
        <v>Jl. Brigjend M. Yoenoes No. 191</v>
      </c>
      <c r="L200" s="9"/>
      <c r="M200" s="9"/>
      <c r="N200" s="8" t="s">
        <v>19</v>
      </c>
      <c r="O200" s="9"/>
      <c r="P200" s="9"/>
      <c r="Q200" s="9"/>
      <c r="R200" s="10" t="str">
        <f>IFERROR(__xludf.DUMMYFUNCTION("""COMPUTED_VALUE"""),"K")</f>
        <v>K</v>
      </c>
      <c r="S200" s="9"/>
    </row>
    <row r="201" ht="22.5" customHeight="1">
      <c r="A201" s="6">
        <v>200.0</v>
      </c>
      <c r="B201" s="9" t="str">
        <f>IFERROR(__xludf.DUMMYFUNCTION("""COMPUTED_VALUE"""),"Pemasangan Instalasi Listrik Bangunan Sederhana")</f>
        <v>Pemasangan Instalasi Listrik Bangunan Sederhana</v>
      </c>
      <c r="C201" s="9" t="str">
        <f>IFERROR(__xludf.DUMMYFUNCTION("""COMPUTED_VALUE"""),"SMK Negeri 2 Kendari")</f>
        <v>SMK Negeri 2 Kendari</v>
      </c>
      <c r="D201" s="9"/>
      <c r="E201" s="9"/>
      <c r="F201" s="9" t="str">
        <f>IFERROR(__xludf.DUMMYFUNCTION("""COMPUTED_VALUE"""),"Muh. Ridwan Tambaga")</f>
        <v>Muh. Ridwan Tambaga</v>
      </c>
      <c r="G201" s="9" t="str">
        <f>IFERROR(__xludf.DUMMYFUNCTION("""COMPUTED_VALUE"""),"7471072307080002")</f>
        <v>7471072307080002</v>
      </c>
      <c r="H201" s="9"/>
      <c r="I201" s="9"/>
      <c r="J201" s="10" t="str">
        <f>IFERROR(__xludf.DUMMYFUNCTION("""COMPUTED_VALUE"""),"LAKI-LAKI")</f>
        <v>LAKI-LAKI</v>
      </c>
      <c r="K201" s="9" t="str">
        <f>IFERROR(__xludf.DUMMYFUNCTION("""COMPUTED_VALUE"""),"Jln. Wayong Puncak")</f>
        <v>Jln. Wayong Puncak</v>
      </c>
      <c r="L201" s="9"/>
      <c r="M201" s="9"/>
      <c r="N201" s="8" t="s">
        <v>19</v>
      </c>
      <c r="O201" s="9"/>
      <c r="P201" s="9"/>
      <c r="Q201" s="9"/>
      <c r="R201" s="10" t="str">
        <f>IFERROR(__xludf.DUMMYFUNCTION("""COMPUTED_VALUE"""),"K")</f>
        <v>K</v>
      </c>
      <c r="S201" s="9"/>
    </row>
    <row r="202" ht="22.5" customHeight="1">
      <c r="A202" s="6">
        <v>201.0</v>
      </c>
      <c r="B202" s="9" t="str">
        <f>IFERROR(__xludf.DUMMYFUNCTION("""COMPUTED_VALUE"""),"Pemasangan Instalasi Listrik Bangunan Sederhana")</f>
        <v>Pemasangan Instalasi Listrik Bangunan Sederhana</v>
      </c>
      <c r="C202" s="9" t="str">
        <f>IFERROR(__xludf.DUMMYFUNCTION("""COMPUTED_VALUE"""),"SMK Negeri 2 Kendari")</f>
        <v>SMK Negeri 2 Kendari</v>
      </c>
      <c r="D202" s="9"/>
      <c r="E202" s="9"/>
      <c r="F202" s="9" t="str">
        <f>IFERROR(__xludf.DUMMYFUNCTION("""COMPUTED_VALUE"""),"Muhammad Andika Adiatma")</f>
        <v>Muhammad Andika Adiatma</v>
      </c>
      <c r="G202" s="9" t="str">
        <f>IFERROR(__xludf.DUMMYFUNCTION("""COMPUTED_VALUE"""),"7471051605070004")</f>
        <v>7471051605070004</v>
      </c>
      <c r="H202" s="9"/>
      <c r="I202" s="9"/>
      <c r="J202" s="10" t="str">
        <f>IFERROR(__xludf.DUMMYFUNCTION("""COMPUTED_VALUE"""),"LAKI-LAKI")</f>
        <v>LAKI-LAKI</v>
      </c>
      <c r="K202" s="9" t="str">
        <f>IFERROR(__xludf.DUMMYFUNCTION("""COMPUTED_VALUE"""),"BTN Kendari Indah Blok F20")</f>
        <v>BTN Kendari Indah Blok F20</v>
      </c>
      <c r="L202" s="9"/>
      <c r="M202" s="9"/>
      <c r="N202" s="8" t="s">
        <v>19</v>
      </c>
      <c r="O202" s="9"/>
      <c r="P202" s="9"/>
      <c r="Q202" s="9"/>
      <c r="R202" s="10" t="str">
        <f>IFERROR(__xludf.DUMMYFUNCTION("""COMPUTED_VALUE"""),"K")</f>
        <v>K</v>
      </c>
      <c r="S202" s="9"/>
    </row>
    <row r="203" ht="22.5" customHeight="1">
      <c r="A203" s="6">
        <v>202.0</v>
      </c>
      <c r="B203" s="9" t="str">
        <f>IFERROR(__xludf.DUMMYFUNCTION("""COMPUTED_VALUE"""),"Pemasangan Instalasi Listrik Bangunan Sederhana")</f>
        <v>Pemasangan Instalasi Listrik Bangunan Sederhana</v>
      </c>
      <c r="C203" s="9" t="str">
        <f>IFERROR(__xludf.DUMMYFUNCTION("""COMPUTED_VALUE"""),"SMK Negeri 2 Kendari")</f>
        <v>SMK Negeri 2 Kendari</v>
      </c>
      <c r="D203" s="9"/>
      <c r="E203" s="9"/>
      <c r="F203" s="9" t="str">
        <f>IFERROR(__xludf.DUMMYFUNCTION("""COMPUTED_VALUE"""),"Muh. Alif Nur")</f>
        <v>Muh. Alif Nur</v>
      </c>
      <c r="G203" s="9" t="str">
        <f>IFERROR(__xludf.DUMMYFUNCTION("""COMPUTED_VALUE"""),"7471072211080001")</f>
        <v>7471072211080001</v>
      </c>
      <c r="H203" s="9"/>
      <c r="I203" s="9"/>
      <c r="J203" s="10" t="str">
        <f>IFERROR(__xludf.DUMMYFUNCTION("""COMPUTED_VALUE"""),"LAKI-LAKI")</f>
        <v>LAKI-LAKI</v>
      </c>
      <c r="K203" s="9" t="str">
        <f>IFERROR(__xludf.DUMMYFUNCTION("""COMPUTED_VALUE"""),"Jl. Hurami BTN Punggolaka")</f>
        <v>Jl. Hurami BTN Punggolaka</v>
      </c>
      <c r="L203" s="9"/>
      <c r="M203" s="9"/>
      <c r="N203" s="8" t="s">
        <v>19</v>
      </c>
      <c r="O203" s="9"/>
      <c r="P203" s="9"/>
      <c r="Q203" s="9"/>
      <c r="R203" s="10" t="str">
        <f>IFERROR(__xludf.DUMMYFUNCTION("""COMPUTED_VALUE"""),"K")</f>
        <v>K</v>
      </c>
      <c r="S203" s="9"/>
    </row>
    <row r="204" ht="22.5" customHeight="1">
      <c r="A204" s="6">
        <v>203.0</v>
      </c>
      <c r="B204" s="9" t="str">
        <f>IFERROR(__xludf.DUMMYFUNCTION("""COMPUTED_VALUE"""),"Pemasangan Instalasi Listrik Bangunan Sederhana")</f>
        <v>Pemasangan Instalasi Listrik Bangunan Sederhana</v>
      </c>
      <c r="C204" s="9" t="str">
        <f>IFERROR(__xludf.DUMMYFUNCTION("""COMPUTED_VALUE"""),"SMK Negeri 2 Kendari")</f>
        <v>SMK Negeri 2 Kendari</v>
      </c>
      <c r="D204" s="9"/>
      <c r="E204" s="9"/>
      <c r="F204" s="9" t="str">
        <f>IFERROR(__xludf.DUMMYFUNCTION("""COMPUTED_VALUE"""),"Muhammad Nayshar Alhidayat")</f>
        <v>Muhammad Nayshar Alhidayat</v>
      </c>
      <c r="G204" s="9" t="str">
        <f>IFERROR(__xludf.DUMMYFUNCTION("""COMPUTED_VALUE"""),"7403150505070001")</f>
        <v>7403150505070001</v>
      </c>
      <c r="H204" s="9"/>
      <c r="I204" s="9"/>
      <c r="J204" s="10" t="str">
        <f>IFERROR(__xludf.DUMMYFUNCTION("""COMPUTED_VALUE"""),"LAKI-LAKI")</f>
        <v>LAKI-LAKI</v>
      </c>
      <c r="K204" s="9" t="str">
        <f>IFERROR(__xludf.DUMMYFUNCTION("""COMPUTED_VALUE"""),"Jl. Bangau")</f>
        <v>Jl. Bangau</v>
      </c>
      <c r="L204" s="9"/>
      <c r="M204" s="9"/>
      <c r="N204" s="8" t="s">
        <v>19</v>
      </c>
      <c r="O204" s="9"/>
      <c r="P204" s="9"/>
      <c r="Q204" s="9"/>
      <c r="R204" s="10" t="str">
        <f>IFERROR(__xludf.DUMMYFUNCTION("""COMPUTED_VALUE"""),"K")</f>
        <v>K</v>
      </c>
      <c r="S204" s="9"/>
    </row>
    <row r="205" ht="22.5" customHeight="1">
      <c r="A205" s="6">
        <v>204.0</v>
      </c>
      <c r="B205" s="9" t="str">
        <f>IFERROR(__xludf.DUMMYFUNCTION("""COMPUTED_VALUE"""),"Pemasangan Instalasi Listrik Bangunan Sederhana")</f>
        <v>Pemasangan Instalasi Listrik Bangunan Sederhana</v>
      </c>
      <c r="C205" s="9" t="str">
        <f>IFERROR(__xludf.DUMMYFUNCTION("""COMPUTED_VALUE"""),"SMK Negeri 2 Kendari")</f>
        <v>SMK Negeri 2 Kendari</v>
      </c>
      <c r="D205" s="9"/>
      <c r="E205" s="9"/>
      <c r="F205" s="9" t="str">
        <f>IFERROR(__xludf.DUMMYFUNCTION("""COMPUTED_VALUE"""),"Muhammad Nur Hidayat")</f>
        <v>Muhammad Nur Hidayat</v>
      </c>
      <c r="G205" s="9" t="str">
        <f>IFERROR(__xludf.DUMMYFUNCTION("""COMPUTED_VALUE"""),"7471092907070001")</f>
        <v>7471092907070001</v>
      </c>
      <c r="H205" s="9"/>
      <c r="I205" s="9"/>
      <c r="J205" s="10" t="str">
        <f>IFERROR(__xludf.DUMMYFUNCTION("""COMPUTED_VALUE"""),"LAKI-LAKI")</f>
        <v>LAKI-LAKI</v>
      </c>
      <c r="K205" s="9"/>
      <c r="L205" s="9"/>
      <c r="M205" s="9"/>
      <c r="N205" s="8" t="s">
        <v>19</v>
      </c>
      <c r="O205" s="9"/>
      <c r="P205" s="9"/>
      <c r="Q205" s="9"/>
      <c r="R205" s="10" t="str">
        <f>IFERROR(__xludf.DUMMYFUNCTION("""COMPUTED_VALUE"""),"BK")</f>
        <v>BK</v>
      </c>
      <c r="S205" s="9"/>
    </row>
    <row r="206" ht="22.5" customHeight="1">
      <c r="A206" s="6">
        <v>205.0</v>
      </c>
      <c r="B206" s="9" t="str">
        <f>IFERROR(__xludf.DUMMYFUNCTION("""COMPUTED_VALUE"""),"Pemasangan Instalasi Listrik Bangunan Sederhana")</f>
        <v>Pemasangan Instalasi Listrik Bangunan Sederhana</v>
      </c>
      <c r="C206" s="9" t="str">
        <f>IFERROR(__xludf.DUMMYFUNCTION("""COMPUTED_VALUE"""),"SMK Negeri 2 Kendari")</f>
        <v>SMK Negeri 2 Kendari</v>
      </c>
      <c r="D206" s="9"/>
      <c r="E206" s="9"/>
      <c r="F206" s="9" t="str">
        <f>IFERROR(__xludf.DUMMYFUNCTION("""COMPUTED_VALUE"""),"Ryan A. Latif")</f>
        <v>Ryan A. Latif</v>
      </c>
      <c r="G206" s="9" t="str">
        <f>IFERROR(__xludf.DUMMYFUNCTION("""COMPUTED_VALUE"""),"7471032611070003")</f>
        <v>7471032611070003</v>
      </c>
      <c r="H206" s="9"/>
      <c r="I206" s="9"/>
      <c r="J206" s="10" t="str">
        <f>IFERROR(__xludf.DUMMYFUNCTION("""COMPUTED_VALUE"""),"LAKI-LAKI")</f>
        <v>LAKI-LAKI</v>
      </c>
      <c r="K206" s="9" t="str">
        <f>IFERROR(__xludf.DUMMYFUNCTION("""COMPUTED_VALUE"""),"BTN Beringin Blok I/15")</f>
        <v>BTN Beringin Blok I/15</v>
      </c>
      <c r="L206" s="9"/>
      <c r="M206" s="9"/>
      <c r="N206" s="8" t="s">
        <v>19</v>
      </c>
      <c r="O206" s="9"/>
      <c r="P206" s="9"/>
      <c r="Q206" s="9"/>
      <c r="R206" s="10" t="str">
        <f>IFERROR(__xludf.DUMMYFUNCTION("""COMPUTED_VALUE"""),"K")</f>
        <v>K</v>
      </c>
      <c r="S206" s="9"/>
    </row>
    <row r="207" ht="22.5" customHeight="1">
      <c r="A207" s="6">
        <v>206.0</v>
      </c>
      <c r="B207" s="9" t="str">
        <f>IFERROR(__xludf.DUMMYFUNCTION("""COMPUTED_VALUE"""),"Pemasangan Instalasi Listrik Bangunan Sederhana")</f>
        <v>Pemasangan Instalasi Listrik Bangunan Sederhana</v>
      </c>
      <c r="C207" s="9" t="str">
        <f>IFERROR(__xludf.DUMMYFUNCTION("""COMPUTED_VALUE"""),"SMK Negeri 2 Kendari")</f>
        <v>SMK Negeri 2 Kendari</v>
      </c>
      <c r="D207" s="9"/>
      <c r="E207" s="9"/>
      <c r="F207" s="9" t="str">
        <f>IFERROR(__xludf.DUMMYFUNCTION("""COMPUTED_VALUE"""),"Sonny Chandra Ode Saimin")</f>
        <v>Sonny Chandra Ode Saimin</v>
      </c>
      <c r="G207" s="9" t="str">
        <f>IFERROR(__xludf.DUMMYFUNCTION("""COMPUTED_VALUE"""),"7471101005080001")</f>
        <v>7471101005080001</v>
      </c>
      <c r="H207" s="9"/>
      <c r="I207" s="9"/>
      <c r="J207" s="10" t="str">
        <f>IFERROR(__xludf.DUMMYFUNCTION("""COMPUTED_VALUE"""),"LAKI-LAKI")</f>
        <v>LAKI-LAKI</v>
      </c>
      <c r="K207" s="9" t="str">
        <f>IFERROR(__xludf.DUMMYFUNCTION("""COMPUTED_VALUE"""),"Jl. Boulevard")</f>
        <v>Jl. Boulevard</v>
      </c>
      <c r="L207" s="9"/>
      <c r="M207" s="9"/>
      <c r="N207" s="8" t="s">
        <v>19</v>
      </c>
      <c r="O207" s="9"/>
      <c r="P207" s="9"/>
      <c r="Q207" s="9"/>
      <c r="R207" s="10" t="str">
        <f>IFERROR(__xludf.DUMMYFUNCTION("""COMPUTED_VALUE"""),"K")</f>
        <v>K</v>
      </c>
      <c r="S207" s="9"/>
    </row>
    <row r="208" ht="22.5" customHeight="1">
      <c r="A208" s="6">
        <v>207.0</v>
      </c>
      <c r="B208" s="9" t="str">
        <f>IFERROR(__xludf.DUMMYFUNCTION("""COMPUTED_VALUE"""),"Pemasangan Instalasi Listrik Bangunan Sederhana")</f>
        <v>Pemasangan Instalasi Listrik Bangunan Sederhana</v>
      </c>
      <c r="C208" s="9" t="str">
        <f>IFERROR(__xludf.DUMMYFUNCTION("""COMPUTED_VALUE"""),"SMK Negeri 2 Kendari")</f>
        <v>SMK Negeri 2 Kendari</v>
      </c>
      <c r="D208" s="9"/>
      <c r="E208" s="9"/>
      <c r="F208" s="9" t="str">
        <f>IFERROR(__xludf.DUMMYFUNCTION("""COMPUTED_VALUE"""),"Syahril")</f>
        <v>Syahril</v>
      </c>
      <c r="G208" s="9" t="str">
        <f>IFERROR(__xludf.DUMMYFUNCTION("""COMPUTED_VALUE"""),"7405072707080002")</f>
        <v>7405072707080002</v>
      </c>
      <c r="H208" s="9"/>
      <c r="I208" s="9"/>
      <c r="J208" s="10" t="str">
        <f>IFERROR(__xludf.DUMMYFUNCTION("""COMPUTED_VALUE"""),"LAKI-LAKI")</f>
        <v>LAKI-LAKI</v>
      </c>
      <c r="K208" s="9" t="str">
        <f>IFERROR(__xludf.DUMMYFUNCTION("""COMPUTED_VALUE"""),"Jl. Mayjen Katamso")</f>
        <v>Jl. Mayjen Katamso</v>
      </c>
      <c r="L208" s="9"/>
      <c r="M208" s="9"/>
      <c r="N208" s="8" t="s">
        <v>19</v>
      </c>
      <c r="O208" s="9"/>
      <c r="P208" s="9"/>
      <c r="Q208" s="9"/>
      <c r="R208" s="10" t="str">
        <f>IFERROR(__xludf.DUMMYFUNCTION("""COMPUTED_VALUE"""),"K")</f>
        <v>K</v>
      </c>
      <c r="S208" s="9"/>
    </row>
    <row r="209" ht="22.5" customHeight="1">
      <c r="A209" s="6">
        <v>208.0</v>
      </c>
      <c r="B209" s="9" t="str">
        <f>IFERROR(__xludf.DUMMYFUNCTION("""COMPUTED_VALUE"""),"Pemasangan Instalasi Listrik Bangunan Sederhana")</f>
        <v>Pemasangan Instalasi Listrik Bangunan Sederhana</v>
      </c>
      <c r="C209" s="9" t="str">
        <f>IFERROR(__xludf.DUMMYFUNCTION("""COMPUTED_VALUE"""),"SMK Negeri 2 Kendari")</f>
        <v>SMK Negeri 2 Kendari</v>
      </c>
      <c r="D209" s="9"/>
      <c r="E209" s="9"/>
      <c r="F209" s="9" t="str">
        <f>IFERROR(__xludf.DUMMYFUNCTION("""COMPUTED_VALUE"""),"Yefriel")</f>
        <v>Yefriel</v>
      </c>
      <c r="G209" s="9" t="str">
        <f>IFERROR(__xludf.DUMMYFUNCTION("""COMPUTED_VALUE"""),"7318120102070003")</f>
        <v>7318120102070003</v>
      </c>
      <c r="H209" s="9"/>
      <c r="I209" s="9"/>
      <c r="J209" s="10" t="str">
        <f>IFERROR(__xludf.DUMMYFUNCTION("""COMPUTED_VALUE"""),"LAKI-LAKI")</f>
        <v>LAKI-LAKI</v>
      </c>
      <c r="K209" s="9" t="str">
        <f>IFERROR(__xludf.DUMMYFUNCTION("""COMPUTED_VALUE"""),"Jln. Poros Wayong")</f>
        <v>Jln. Poros Wayong</v>
      </c>
      <c r="L209" s="9"/>
      <c r="M209" s="9"/>
      <c r="N209" s="8" t="s">
        <v>19</v>
      </c>
      <c r="O209" s="9"/>
      <c r="P209" s="9"/>
      <c r="Q209" s="9"/>
      <c r="R209" s="10" t="str">
        <f>IFERROR(__xludf.DUMMYFUNCTION("""COMPUTED_VALUE"""),"K")</f>
        <v>K</v>
      </c>
      <c r="S209" s="9"/>
    </row>
    <row r="210" ht="22.5" customHeight="1">
      <c r="A210" s="6">
        <v>209.0</v>
      </c>
      <c r="B210" s="9" t="str">
        <f>IFERROR(__xludf.DUMMYFUNCTION("""COMPUTED_VALUE"""),"Pemasangan Instalasi Listrik Bangunan Sederhana")</f>
        <v>Pemasangan Instalasi Listrik Bangunan Sederhana</v>
      </c>
      <c r="C210" s="9" t="str">
        <f>IFERROR(__xludf.DUMMYFUNCTION("""COMPUTED_VALUE"""),"SMK Negeri 2 Kendari")</f>
        <v>SMK Negeri 2 Kendari</v>
      </c>
      <c r="D210" s="9"/>
      <c r="E210" s="9"/>
      <c r="F210" s="9" t="str">
        <f>IFERROR(__xludf.DUMMYFUNCTION("""COMPUTED_VALUE"""),"Yunus Rante")</f>
        <v>Yunus Rante</v>
      </c>
      <c r="G210" s="9" t="str">
        <f>IFERROR(__xludf.DUMMYFUNCTION("""COMPUTED_VALUE"""),"7471050906080005")</f>
        <v>7471050906080005</v>
      </c>
      <c r="H210" s="9"/>
      <c r="I210" s="9"/>
      <c r="J210" s="10" t="str">
        <f>IFERROR(__xludf.DUMMYFUNCTION("""COMPUTED_VALUE"""),"LAKI-LAKI")</f>
        <v>LAKI-LAKI</v>
      </c>
      <c r="K210" s="9" t="str">
        <f>IFERROR(__xludf.DUMMYFUNCTION("""COMPUTED_VALUE"""),"Jl. Bunga Dahlia")</f>
        <v>Jl. Bunga Dahlia</v>
      </c>
      <c r="L210" s="9"/>
      <c r="M210" s="9"/>
      <c r="N210" s="8" t="s">
        <v>19</v>
      </c>
      <c r="O210" s="9"/>
      <c r="P210" s="9"/>
      <c r="Q210" s="9"/>
      <c r="R210" s="10" t="str">
        <f>IFERROR(__xludf.DUMMYFUNCTION("""COMPUTED_VALUE"""),"K")</f>
        <v>K</v>
      </c>
      <c r="S210" s="9"/>
    </row>
    <row r="211" ht="22.5" customHeight="1">
      <c r="A211" s="6">
        <v>210.0</v>
      </c>
      <c r="B211" s="9" t="str">
        <f>IFERROR(__xludf.DUMMYFUNCTION("""COMPUTED_VALUE"""),"Pemasangan Instalasi Listrik Bangunan Sederhana")</f>
        <v>Pemasangan Instalasi Listrik Bangunan Sederhana</v>
      </c>
      <c r="C211" s="9" t="str">
        <f>IFERROR(__xludf.DUMMYFUNCTION("""COMPUTED_VALUE"""),"SMK Negeri 2 Kendari")</f>
        <v>SMK Negeri 2 Kendari</v>
      </c>
      <c r="D211" s="9"/>
      <c r="E211" s="9"/>
      <c r="F211" s="9" t="str">
        <f>IFERROR(__xludf.DUMMYFUNCTION("""COMPUTED_VALUE"""),"Alvan")</f>
        <v>Alvan</v>
      </c>
      <c r="G211" s="9" t="str">
        <f>IFERROR(__xludf.DUMMYFUNCTION("""COMPUTED_VALUE"""),"7405042312080001")</f>
        <v>7405042312080001</v>
      </c>
      <c r="H211" s="9"/>
      <c r="I211" s="9"/>
      <c r="J211" s="10" t="str">
        <f>IFERROR(__xludf.DUMMYFUNCTION("""COMPUTED_VALUE"""),"LAKI-LAKI")</f>
        <v>LAKI-LAKI</v>
      </c>
      <c r="K211" s="9" t="str">
        <f>IFERROR(__xludf.DUMMYFUNCTION("""COMPUTED_VALUE"""),"Kab. Konawe Selatan, Kec. Moramo Selatan")</f>
        <v>Kab. Konawe Selatan, Kec. Moramo Selatan</v>
      </c>
      <c r="L211" s="9"/>
      <c r="M211" s="9"/>
      <c r="N211" s="8" t="s">
        <v>19</v>
      </c>
      <c r="O211" s="9"/>
      <c r="P211" s="9"/>
      <c r="Q211" s="9"/>
      <c r="R211" s="10" t="str">
        <f>IFERROR(__xludf.DUMMYFUNCTION("""COMPUTED_VALUE"""),"K")</f>
        <v>K</v>
      </c>
      <c r="S211" s="9"/>
    </row>
    <row r="212" ht="22.5" customHeight="1">
      <c r="A212" s="6">
        <v>211.0</v>
      </c>
      <c r="B212" s="9" t="str">
        <f>IFERROR(__xludf.DUMMYFUNCTION("""COMPUTED_VALUE"""),"Pemasangan Instalasi Listrik Bangunan Sederhana")</f>
        <v>Pemasangan Instalasi Listrik Bangunan Sederhana</v>
      </c>
      <c r="C212" s="9" t="str">
        <f>IFERROR(__xludf.DUMMYFUNCTION("""COMPUTED_VALUE"""),"SMK Negeri 2 Kendari")</f>
        <v>SMK Negeri 2 Kendari</v>
      </c>
      <c r="D212" s="9"/>
      <c r="E212" s="9"/>
      <c r="F212" s="9" t="str">
        <f>IFERROR(__xludf.DUMMYFUNCTION("""COMPUTED_VALUE"""),"Arya Rausu. Y")</f>
        <v>Arya Rausu. Y</v>
      </c>
      <c r="G212" s="9" t="str">
        <f>IFERROR(__xludf.DUMMYFUNCTION("""COMPUTED_VALUE"""),"7471051208080002")</f>
        <v>7471051208080002</v>
      </c>
      <c r="H212" s="9"/>
      <c r="I212" s="9"/>
      <c r="J212" s="10" t="str">
        <f>IFERROR(__xludf.DUMMYFUNCTION("""COMPUTED_VALUE"""),"LAKI-LAKI")</f>
        <v>LAKI-LAKI</v>
      </c>
      <c r="K212" s="9" t="str">
        <f>IFERROR(__xludf.DUMMYFUNCTION("""COMPUTED_VALUE"""),"Kampung Salo")</f>
        <v>Kampung Salo</v>
      </c>
      <c r="L212" s="9"/>
      <c r="M212" s="9"/>
      <c r="N212" s="8" t="s">
        <v>19</v>
      </c>
      <c r="O212" s="9"/>
      <c r="P212" s="9"/>
      <c r="Q212" s="9"/>
      <c r="R212" s="10" t="str">
        <f>IFERROR(__xludf.DUMMYFUNCTION("""COMPUTED_VALUE"""),"K")</f>
        <v>K</v>
      </c>
      <c r="S212" s="9"/>
    </row>
    <row r="213" ht="22.5" customHeight="1">
      <c r="A213" s="6">
        <v>212.0</v>
      </c>
      <c r="B213" s="9" t="str">
        <f>IFERROR(__xludf.DUMMYFUNCTION("""COMPUTED_VALUE"""),"Pemasangan Instalasi Listrik Bangunan Sederhana")</f>
        <v>Pemasangan Instalasi Listrik Bangunan Sederhana</v>
      </c>
      <c r="C213" s="9" t="str">
        <f>IFERROR(__xludf.DUMMYFUNCTION("""COMPUTED_VALUE"""),"SMK Negeri 2 Kendari")</f>
        <v>SMK Negeri 2 Kendari</v>
      </c>
      <c r="D213" s="9"/>
      <c r="E213" s="9"/>
      <c r="F213" s="9" t="str">
        <f>IFERROR(__xludf.DUMMYFUNCTION("""COMPUTED_VALUE"""),"Davit")</f>
        <v>Davit</v>
      </c>
      <c r="G213" s="9" t="str">
        <f>IFERROR(__xludf.DUMMYFUNCTION("""COMPUTED_VALUE"""),"7405161006060001")</f>
        <v>7405161006060001</v>
      </c>
      <c r="H213" s="9"/>
      <c r="I213" s="9"/>
      <c r="J213" s="10" t="str">
        <f>IFERROR(__xludf.DUMMYFUNCTION("""COMPUTED_VALUE"""),"LAKI-LAKI")</f>
        <v>LAKI-LAKI</v>
      </c>
      <c r="K213" s="9" t="str">
        <f>IFERROR(__xludf.DUMMYFUNCTION("""COMPUTED_VALUE"""),"Tanjung Tiram")</f>
        <v>Tanjung Tiram</v>
      </c>
      <c r="L213" s="9"/>
      <c r="M213" s="9"/>
      <c r="N213" s="8" t="s">
        <v>19</v>
      </c>
      <c r="O213" s="9"/>
      <c r="P213" s="9"/>
      <c r="Q213" s="9"/>
      <c r="R213" s="10" t="str">
        <f>IFERROR(__xludf.DUMMYFUNCTION("""COMPUTED_VALUE"""),"K")</f>
        <v>K</v>
      </c>
      <c r="S213" s="9"/>
    </row>
    <row r="214" ht="22.5" customHeight="1">
      <c r="A214" s="6">
        <v>213.0</v>
      </c>
      <c r="B214" s="9" t="str">
        <f>IFERROR(__xludf.DUMMYFUNCTION("""COMPUTED_VALUE"""),"Pemasangan Instalasi Listrik Bangunan Sederhana")</f>
        <v>Pemasangan Instalasi Listrik Bangunan Sederhana</v>
      </c>
      <c r="C214" s="9" t="str">
        <f>IFERROR(__xludf.DUMMYFUNCTION("""COMPUTED_VALUE"""),"SMK Negeri 2 Kendari")</f>
        <v>SMK Negeri 2 Kendari</v>
      </c>
      <c r="D214" s="9"/>
      <c r="E214" s="9"/>
      <c r="F214" s="9" t="str">
        <f>IFERROR(__xludf.DUMMYFUNCTION("""COMPUTED_VALUE"""),"Dika Saputra")</f>
        <v>Dika Saputra</v>
      </c>
      <c r="G214" s="9" t="str">
        <f>IFERROR(__xludf.DUMMYFUNCTION("""COMPUTED_VALUE"""),"7402361201090001")</f>
        <v>7402361201090001</v>
      </c>
      <c r="H214" s="9"/>
      <c r="I214" s="9"/>
      <c r="J214" s="10" t="str">
        <f>IFERROR(__xludf.DUMMYFUNCTION("""COMPUTED_VALUE"""),"LAKI-LAKI")</f>
        <v>LAKI-LAKI</v>
      </c>
      <c r="K214" s="9" t="str">
        <f>IFERROR(__xludf.DUMMYFUNCTION("""COMPUTED_VALUE"""),"Desa Rapambinoraka, Kec. Lalonggasumero")</f>
        <v>Desa Rapambinoraka, Kec. Lalonggasumero</v>
      </c>
      <c r="L214" s="9"/>
      <c r="M214" s="9"/>
      <c r="N214" s="8" t="s">
        <v>19</v>
      </c>
      <c r="O214" s="9"/>
      <c r="P214" s="9"/>
      <c r="Q214" s="9"/>
      <c r="R214" s="10" t="str">
        <f>IFERROR(__xludf.DUMMYFUNCTION("""COMPUTED_VALUE"""),"K")</f>
        <v>K</v>
      </c>
      <c r="S214" s="9"/>
    </row>
    <row r="215" ht="22.5" customHeight="1">
      <c r="A215" s="6">
        <v>214.0</v>
      </c>
      <c r="B215" s="9" t="str">
        <f>IFERROR(__xludf.DUMMYFUNCTION("""COMPUTED_VALUE"""),"Pemasangan Instalasi Listrik Bangunan Sederhana")</f>
        <v>Pemasangan Instalasi Listrik Bangunan Sederhana</v>
      </c>
      <c r="C215" s="9" t="str">
        <f>IFERROR(__xludf.DUMMYFUNCTION("""COMPUTED_VALUE"""),"SMK Negeri 2 Kendari")</f>
        <v>SMK Negeri 2 Kendari</v>
      </c>
      <c r="D215" s="9"/>
      <c r="E215" s="9"/>
      <c r="F215" s="9" t="str">
        <f>IFERROR(__xludf.DUMMYFUNCTION("""COMPUTED_VALUE"""),"Imron")</f>
        <v>Imron</v>
      </c>
      <c r="G215" s="9" t="str">
        <f>IFERROR(__xludf.DUMMYFUNCTION("""COMPUTED_VALUE"""),"7403260107100008")</f>
        <v>7403260107100008</v>
      </c>
      <c r="H215" s="9"/>
      <c r="I215" s="9"/>
      <c r="J215" s="10" t="str">
        <f>IFERROR(__xludf.DUMMYFUNCTION("""COMPUTED_VALUE"""),"LAKI-LAKI")</f>
        <v>LAKI-LAKI</v>
      </c>
      <c r="K215" s="9" t="str">
        <f>IFERROR(__xludf.DUMMYFUNCTION("""COMPUTED_VALUE"""),"Desa Matombura, Dusun Motombura")</f>
        <v>Desa Matombura, Dusun Motombura</v>
      </c>
      <c r="L215" s="9"/>
      <c r="M215" s="9"/>
      <c r="N215" s="8" t="s">
        <v>19</v>
      </c>
      <c r="O215" s="9"/>
      <c r="P215" s="9"/>
      <c r="Q215" s="9"/>
      <c r="R215" s="10" t="str">
        <f>IFERROR(__xludf.DUMMYFUNCTION("""COMPUTED_VALUE"""),"K")</f>
        <v>K</v>
      </c>
      <c r="S215" s="9"/>
    </row>
    <row r="216" ht="22.5" customHeight="1">
      <c r="A216" s="6">
        <v>215.0</v>
      </c>
      <c r="B216" s="9" t="str">
        <f>IFERROR(__xludf.DUMMYFUNCTION("""COMPUTED_VALUE"""),"Pemasangan Instalasi Listrik Bangunan Sederhana")</f>
        <v>Pemasangan Instalasi Listrik Bangunan Sederhana</v>
      </c>
      <c r="C216" s="9" t="str">
        <f>IFERROR(__xludf.DUMMYFUNCTION("""COMPUTED_VALUE"""),"SMK Negeri 2 Kendari")</f>
        <v>SMK Negeri 2 Kendari</v>
      </c>
      <c r="D216" s="9"/>
      <c r="E216" s="9"/>
      <c r="F216" s="9" t="str">
        <f>IFERROR(__xludf.DUMMYFUNCTION("""COMPUTED_VALUE"""),"Ishar")</f>
        <v>Ishar</v>
      </c>
      <c r="G216" s="9" t="str">
        <f>IFERROR(__xludf.DUMMYFUNCTION("""COMPUTED_VALUE"""),"7471093112020002")</f>
        <v>7471093112020002</v>
      </c>
      <c r="H216" s="9"/>
      <c r="I216" s="9"/>
      <c r="J216" s="10" t="str">
        <f>IFERROR(__xludf.DUMMYFUNCTION("""COMPUTED_VALUE"""),"LAKI-LAKI")</f>
        <v>LAKI-LAKI</v>
      </c>
      <c r="K216" s="9" t="str">
        <f>IFERROR(__xludf.DUMMYFUNCTION("""COMPUTED_VALUE"""),"Jl. Budiutomo, Lrg. Cepakat")</f>
        <v>Jl. Budiutomo, Lrg. Cepakat</v>
      </c>
      <c r="L216" s="9"/>
      <c r="M216" s="9"/>
      <c r="N216" s="8" t="s">
        <v>19</v>
      </c>
      <c r="O216" s="9"/>
      <c r="P216" s="9"/>
      <c r="Q216" s="9"/>
      <c r="R216" s="10" t="str">
        <f>IFERROR(__xludf.DUMMYFUNCTION("""COMPUTED_VALUE"""),"K")</f>
        <v>K</v>
      </c>
      <c r="S216" s="9"/>
    </row>
    <row r="217" ht="22.5" customHeight="1">
      <c r="A217" s="6">
        <v>216.0</v>
      </c>
      <c r="B217" s="9" t="str">
        <f>IFERROR(__xludf.DUMMYFUNCTION("""COMPUTED_VALUE"""),"Pemasangan Instalasi Listrik Bangunan Sederhana")</f>
        <v>Pemasangan Instalasi Listrik Bangunan Sederhana</v>
      </c>
      <c r="C217" s="9" t="str">
        <f>IFERROR(__xludf.DUMMYFUNCTION("""COMPUTED_VALUE"""),"SMK Negeri 2 Kendari")</f>
        <v>SMK Negeri 2 Kendari</v>
      </c>
      <c r="D217" s="9"/>
      <c r="E217" s="9"/>
      <c r="F217" s="9" t="str">
        <f>IFERROR(__xludf.DUMMYFUNCTION("""COMPUTED_VALUE"""),"Muh Aprizal A. Sina")</f>
        <v>Muh Aprizal A. Sina</v>
      </c>
      <c r="G217" s="9" t="str">
        <f>IFERROR(__xludf.DUMMYFUNCTION("""COMPUTED_VALUE"""),"7471052004090003")</f>
        <v>7471052004090003</v>
      </c>
      <c r="H217" s="9"/>
      <c r="I217" s="9"/>
      <c r="J217" s="10" t="str">
        <f>IFERROR(__xludf.DUMMYFUNCTION("""COMPUTED_VALUE"""),"LAKI-LAKI")</f>
        <v>LAKI-LAKI</v>
      </c>
      <c r="K217" s="9" t="str">
        <f>IFERROR(__xludf.DUMMYFUNCTION("""COMPUTED_VALUE"""),"Jl. Mayjen S. Parman Lrg Baruga Amarilis")</f>
        <v>Jl. Mayjen S. Parman Lrg Baruga Amarilis</v>
      </c>
      <c r="L217" s="9"/>
      <c r="M217" s="9"/>
      <c r="N217" s="8" t="s">
        <v>19</v>
      </c>
      <c r="O217" s="9"/>
      <c r="P217" s="9"/>
      <c r="Q217" s="9"/>
      <c r="R217" s="10" t="str">
        <f>IFERROR(__xludf.DUMMYFUNCTION("""COMPUTED_VALUE"""),"K")</f>
        <v>K</v>
      </c>
      <c r="S217" s="9"/>
    </row>
    <row r="218" ht="22.5" customHeight="1">
      <c r="A218" s="6">
        <v>217.0</v>
      </c>
      <c r="B218" s="9" t="str">
        <f>IFERROR(__xludf.DUMMYFUNCTION("""COMPUTED_VALUE"""),"Pemasangan Instalasi Listrik Bangunan Sederhana")</f>
        <v>Pemasangan Instalasi Listrik Bangunan Sederhana</v>
      </c>
      <c r="C218" s="9" t="str">
        <f>IFERROR(__xludf.DUMMYFUNCTION("""COMPUTED_VALUE"""),"SMK Negeri 2 Kendari")</f>
        <v>SMK Negeri 2 Kendari</v>
      </c>
      <c r="D218" s="9"/>
      <c r="E218" s="9"/>
      <c r="F218" s="9" t="str">
        <f>IFERROR(__xludf.DUMMYFUNCTION("""COMPUTED_VALUE"""),"Muh. Alif Tegar")</f>
        <v>Muh. Alif Tegar</v>
      </c>
      <c r="G218" s="9" t="str">
        <f>IFERROR(__xludf.DUMMYFUNCTION("""COMPUTED_VALUE"""),"7471071402070001")</f>
        <v>7471071402070001</v>
      </c>
      <c r="H218" s="9"/>
      <c r="I218" s="9"/>
      <c r="J218" s="10" t="str">
        <f>IFERROR(__xludf.DUMMYFUNCTION("""COMPUTED_VALUE"""),"LAKI-LAKI")</f>
        <v>LAKI-LAKI</v>
      </c>
      <c r="K218" s="9" t="str">
        <f>IFERROR(__xludf.DUMMYFUNCTION("""COMPUTED_VALUE"""),"Jl. Dr. Sutomo")</f>
        <v>Jl. Dr. Sutomo</v>
      </c>
      <c r="L218" s="9"/>
      <c r="M218" s="9"/>
      <c r="N218" s="8" t="s">
        <v>19</v>
      </c>
      <c r="O218" s="9"/>
      <c r="P218" s="9"/>
      <c r="Q218" s="9"/>
      <c r="R218" s="10" t="str">
        <f>IFERROR(__xludf.DUMMYFUNCTION("""COMPUTED_VALUE"""),"BK")</f>
        <v>BK</v>
      </c>
      <c r="S218" s="9"/>
    </row>
    <row r="219" ht="22.5" customHeight="1">
      <c r="A219" s="6">
        <v>218.0</v>
      </c>
      <c r="B219" s="9" t="str">
        <f>IFERROR(__xludf.DUMMYFUNCTION("""COMPUTED_VALUE"""),"Pemasangan Instalasi Listrik Bangunan Sederhana")</f>
        <v>Pemasangan Instalasi Listrik Bangunan Sederhana</v>
      </c>
      <c r="C219" s="9" t="str">
        <f>IFERROR(__xludf.DUMMYFUNCTION("""COMPUTED_VALUE"""),"SMK Negeri 2 Kendari")</f>
        <v>SMK Negeri 2 Kendari</v>
      </c>
      <c r="D219" s="9"/>
      <c r="E219" s="9"/>
      <c r="F219" s="9" t="str">
        <f>IFERROR(__xludf.DUMMYFUNCTION("""COMPUTED_VALUE"""),"Muh. Ebit")</f>
        <v>Muh. Ebit</v>
      </c>
      <c r="G219" s="9" t="str">
        <f>IFERROR(__xludf.DUMMYFUNCTION("""COMPUTED_VALUE"""),"7471092104080002")</f>
        <v>7471092104080002</v>
      </c>
      <c r="H219" s="9"/>
      <c r="I219" s="9"/>
      <c r="J219" s="10" t="str">
        <f>IFERROR(__xludf.DUMMYFUNCTION("""COMPUTED_VALUE"""),"LAKI-LAKI")</f>
        <v>LAKI-LAKI</v>
      </c>
      <c r="K219" s="9" t="str">
        <f>IFERROR(__xludf.DUMMYFUNCTION("""COMPUTED_VALUE"""),"Jln. Tunggala Dalam Baito")</f>
        <v>Jln. Tunggala Dalam Baito</v>
      </c>
      <c r="L219" s="9"/>
      <c r="M219" s="9"/>
      <c r="N219" s="8" t="s">
        <v>19</v>
      </c>
      <c r="O219" s="9"/>
      <c r="P219" s="9"/>
      <c r="Q219" s="9"/>
      <c r="R219" s="10" t="str">
        <f>IFERROR(__xludf.DUMMYFUNCTION("""COMPUTED_VALUE"""),"K")</f>
        <v>K</v>
      </c>
      <c r="S219" s="9"/>
    </row>
    <row r="220" ht="22.5" customHeight="1">
      <c r="A220" s="6">
        <v>219.0</v>
      </c>
      <c r="B220" s="9" t="str">
        <f>IFERROR(__xludf.DUMMYFUNCTION("""COMPUTED_VALUE"""),"Pemasangan Instalasi Listrik Bangunan Sederhana")</f>
        <v>Pemasangan Instalasi Listrik Bangunan Sederhana</v>
      </c>
      <c r="C220" s="9" t="str">
        <f>IFERROR(__xludf.DUMMYFUNCTION("""COMPUTED_VALUE"""),"SMK Negeri 2 Kendari")</f>
        <v>SMK Negeri 2 Kendari</v>
      </c>
      <c r="D220" s="9"/>
      <c r="E220" s="9"/>
      <c r="F220" s="9" t="str">
        <f>IFERROR(__xludf.DUMMYFUNCTION("""COMPUTED_VALUE"""),"Muh. Fais Fatullah")</f>
        <v>Muh. Fais Fatullah</v>
      </c>
      <c r="G220" s="9" t="str">
        <f>IFERROR(__xludf.DUMMYFUNCTION("""COMPUTED_VALUE"""),"7471091606080002")</f>
        <v>7471091606080002</v>
      </c>
      <c r="H220" s="9"/>
      <c r="I220" s="9"/>
      <c r="J220" s="10" t="str">
        <f>IFERROR(__xludf.DUMMYFUNCTION("""COMPUTED_VALUE"""),"LAKI-LAKI")</f>
        <v>LAKI-LAKI</v>
      </c>
      <c r="K220" s="9"/>
      <c r="L220" s="9"/>
      <c r="M220" s="9"/>
      <c r="N220" s="8" t="s">
        <v>19</v>
      </c>
      <c r="O220" s="9"/>
      <c r="P220" s="9"/>
      <c r="Q220" s="9"/>
      <c r="R220" s="10" t="str">
        <f>IFERROR(__xludf.DUMMYFUNCTION("""COMPUTED_VALUE"""),"K")</f>
        <v>K</v>
      </c>
      <c r="S220" s="9"/>
    </row>
    <row r="221" ht="22.5" customHeight="1">
      <c r="A221" s="6">
        <v>220.0</v>
      </c>
      <c r="B221" s="9" t="str">
        <f>IFERROR(__xludf.DUMMYFUNCTION("""COMPUTED_VALUE"""),"Pemasangan Instalasi Listrik Bangunan Sederhana")</f>
        <v>Pemasangan Instalasi Listrik Bangunan Sederhana</v>
      </c>
      <c r="C221" s="9" t="str">
        <f>IFERROR(__xludf.DUMMYFUNCTION("""COMPUTED_VALUE"""),"SMK Negeri 2 Kendari")</f>
        <v>SMK Negeri 2 Kendari</v>
      </c>
      <c r="D221" s="9"/>
      <c r="E221" s="9"/>
      <c r="F221" s="9" t="str">
        <f>IFERROR(__xludf.DUMMYFUNCTION("""COMPUTED_VALUE"""),"Muh. Nur Akbar")</f>
        <v>Muh. Nur Akbar</v>
      </c>
      <c r="G221" s="9" t="str">
        <f>IFERROR(__xludf.DUMMYFUNCTION("""COMPUTED_VALUE"""),"7471071705080002")</f>
        <v>7471071705080002</v>
      </c>
      <c r="H221" s="9"/>
      <c r="I221" s="9"/>
      <c r="J221" s="10" t="str">
        <f>IFERROR(__xludf.DUMMYFUNCTION("""COMPUTED_VALUE"""),"LAKI-LAKI")</f>
        <v>LAKI-LAKI</v>
      </c>
      <c r="K221" s="9" t="str">
        <f>IFERROR(__xludf.DUMMYFUNCTION("""COMPUTED_VALUE"""),"Jl. Sorumba Pasar Panjang")</f>
        <v>Jl. Sorumba Pasar Panjang</v>
      </c>
      <c r="L221" s="9"/>
      <c r="M221" s="9"/>
      <c r="N221" s="8" t="s">
        <v>19</v>
      </c>
      <c r="O221" s="9"/>
      <c r="P221" s="9"/>
      <c r="Q221" s="9"/>
      <c r="R221" s="10" t="str">
        <f>IFERROR(__xludf.DUMMYFUNCTION("""COMPUTED_VALUE"""),"K")</f>
        <v>K</v>
      </c>
      <c r="S221" s="9"/>
    </row>
    <row r="222" ht="22.5" customHeight="1">
      <c r="A222" s="6">
        <v>221.0</v>
      </c>
      <c r="B222" s="9" t="str">
        <f>IFERROR(__xludf.DUMMYFUNCTION("""COMPUTED_VALUE"""),"Pemasangan Instalasi Listrik Bangunan Sederhana")</f>
        <v>Pemasangan Instalasi Listrik Bangunan Sederhana</v>
      </c>
      <c r="C222" s="9" t="str">
        <f>IFERROR(__xludf.DUMMYFUNCTION("""COMPUTED_VALUE"""),"SMK Negeri 2 Kendari")</f>
        <v>SMK Negeri 2 Kendari</v>
      </c>
      <c r="D222" s="9"/>
      <c r="E222" s="9"/>
      <c r="F222" s="9" t="str">
        <f>IFERROR(__xludf.DUMMYFUNCTION("""COMPUTED_VALUE"""),"Muhammad Fatir")</f>
        <v>Muhammad Fatir</v>
      </c>
      <c r="G222" s="9" t="str">
        <f>IFERROR(__xludf.DUMMYFUNCTION("""COMPUTED_VALUE"""),"7402232906060001")</f>
        <v>7402232906060001</v>
      </c>
      <c r="H222" s="9"/>
      <c r="I222" s="9"/>
      <c r="J222" s="10" t="str">
        <f>IFERROR(__xludf.DUMMYFUNCTION("""COMPUTED_VALUE"""),"LAKI-LAKI")</f>
        <v>LAKI-LAKI</v>
      </c>
      <c r="K222" s="9" t="str">
        <f>IFERROR(__xludf.DUMMYFUNCTION("""COMPUTED_VALUE"""),"Routa, Kec Routa")</f>
        <v>Routa, Kec Routa</v>
      </c>
      <c r="L222" s="9"/>
      <c r="M222" s="9"/>
      <c r="N222" s="8" t="s">
        <v>19</v>
      </c>
      <c r="O222" s="9"/>
      <c r="P222" s="9"/>
      <c r="Q222" s="9"/>
      <c r="R222" s="10" t="str">
        <f>IFERROR(__xludf.DUMMYFUNCTION("""COMPUTED_VALUE"""),"K")</f>
        <v>K</v>
      </c>
      <c r="S222" s="9"/>
    </row>
    <row r="223" ht="22.5" customHeight="1">
      <c r="A223" s="6">
        <v>222.0</v>
      </c>
      <c r="B223" s="9" t="str">
        <f>IFERROR(__xludf.DUMMYFUNCTION("""COMPUTED_VALUE"""),"Pemasangan Instalasi Listrik Bangunan Sederhana")</f>
        <v>Pemasangan Instalasi Listrik Bangunan Sederhana</v>
      </c>
      <c r="C223" s="9" t="str">
        <f>IFERROR(__xludf.DUMMYFUNCTION("""COMPUTED_VALUE"""),"SMK Negeri 2 Kendari")</f>
        <v>SMK Negeri 2 Kendari</v>
      </c>
      <c r="D223" s="9"/>
      <c r="E223" s="9"/>
      <c r="F223" s="9" t="str">
        <f>IFERROR(__xludf.DUMMYFUNCTION("""COMPUTED_VALUE"""),"Rahmat")</f>
        <v>Rahmat</v>
      </c>
      <c r="G223" s="9" t="str">
        <f>IFERROR(__xludf.DUMMYFUNCTION("""COMPUTED_VALUE"""),"7471012010080001")</f>
        <v>7471012010080001</v>
      </c>
      <c r="H223" s="9"/>
      <c r="I223" s="9"/>
      <c r="J223" s="10" t="str">
        <f>IFERROR(__xludf.DUMMYFUNCTION("""COMPUTED_VALUE"""),"LAKI-LAKI")</f>
        <v>LAKI-LAKI</v>
      </c>
      <c r="K223" s="9" t="str">
        <f>IFERROR(__xludf.DUMMYFUNCTION("""COMPUTED_VALUE"""),"Jl. Imam Bonjol Kel. Anggilowu Kec. Mandonga")</f>
        <v>Jl. Imam Bonjol Kel. Anggilowu Kec. Mandonga</v>
      </c>
      <c r="L223" s="9"/>
      <c r="M223" s="9"/>
      <c r="N223" s="8" t="s">
        <v>19</v>
      </c>
      <c r="O223" s="9"/>
      <c r="P223" s="9"/>
      <c r="Q223" s="9"/>
      <c r="R223" s="10" t="str">
        <f>IFERROR(__xludf.DUMMYFUNCTION("""COMPUTED_VALUE"""),"K")</f>
        <v>K</v>
      </c>
      <c r="S223" s="9"/>
    </row>
    <row r="224" ht="22.5" customHeight="1">
      <c r="A224" s="6">
        <v>223.0</v>
      </c>
      <c r="B224" s="9" t="str">
        <f>IFERROR(__xludf.DUMMYFUNCTION("""COMPUTED_VALUE"""),"Pemasangan Instalasi Listrik Bangunan Sederhana")</f>
        <v>Pemasangan Instalasi Listrik Bangunan Sederhana</v>
      </c>
      <c r="C224" s="9" t="str">
        <f>IFERROR(__xludf.DUMMYFUNCTION("""COMPUTED_VALUE"""),"SMK Negeri 2 Kendari")</f>
        <v>SMK Negeri 2 Kendari</v>
      </c>
      <c r="D224" s="9"/>
      <c r="E224" s="9"/>
      <c r="F224" s="9" t="str">
        <f>IFERROR(__xludf.DUMMYFUNCTION("""COMPUTED_VALUE"""),"Rauuf Mulki")</f>
        <v>Rauuf Mulki</v>
      </c>
      <c r="G224" s="9" t="str">
        <f>IFERROR(__xludf.DUMMYFUNCTION("""COMPUTED_VALUE"""),"7405030406080001")</f>
        <v>7405030406080001</v>
      </c>
      <c r="H224" s="9"/>
      <c r="I224" s="9"/>
      <c r="J224" s="10" t="str">
        <f>IFERROR(__xludf.DUMMYFUNCTION("""COMPUTED_VALUE"""),"LAKI-LAKI")</f>
        <v>LAKI-LAKI</v>
      </c>
      <c r="K224" s="9" t="str">
        <f>IFERROR(__xludf.DUMMYFUNCTION("""COMPUTED_VALUE"""),"BTN Raksa Dewa Baruga")</f>
        <v>BTN Raksa Dewa Baruga</v>
      </c>
      <c r="L224" s="9"/>
      <c r="M224" s="9"/>
      <c r="N224" s="8" t="s">
        <v>19</v>
      </c>
      <c r="O224" s="9"/>
      <c r="P224" s="9"/>
      <c r="Q224" s="9"/>
      <c r="R224" s="10" t="str">
        <f>IFERROR(__xludf.DUMMYFUNCTION("""COMPUTED_VALUE"""),"K")</f>
        <v>K</v>
      </c>
      <c r="S224" s="9"/>
    </row>
    <row r="225" ht="22.5" customHeight="1">
      <c r="A225" s="6">
        <v>224.0</v>
      </c>
      <c r="B225" s="9" t="str">
        <f>IFERROR(__xludf.DUMMYFUNCTION("""COMPUTED_VALUE"""),"Pemasangan Instalasi Listrik Bangunan Sederhana")</f>
        <v>Pemasangan Instalasi Listrik Bangunan Sederhana</v>
      </c>
      <c r="C225" s="9" t="str">
        <f>IFERROR(__xludf.DUMMYFUNCTION("""COMPUTED_VALUE"""),"SMK Negeri 2 Kendari")</f>
        <v>SMK Negeri 2 Kendari</v>
      </c>
      <c r="D225" s="9"/>
      <c r="E225" s="9"/>
      <c r="F225" s="9" t="str">
        <f>IFERROR(__xludf.DUMMYFUNCTION("""COMPUTED_VALUE"""),"Riban Saputra")</f>
        <v>Riban Saputra</v>
      </c>
      <c r="G225" s="9" t="str">
        <f>IFERROR(__xludf.DUMMYFUNCTION("""COMPUTED_VALUE"""),"7471011102090001")</f>
        <v>7471011102090001</v>
      </c>
      <c r="H225" s="9"/>
      <c r="I225" s="9"/>
      <c r="J225" s="10" t="str">
        <f>IFERROR(__xludf.DUMMYFUNCTION("""COMPUTED_VALUE"""),"LAKI-LAKI")</f>
        <v>LAKI-LAKI</v>
      </c>
      <c r="K225" s="9" t="str">
        <f>IFERROR(__xludf.DUMMYFUNCTION("""COMPUTED_VALUE"""),"Jl. Osumetundu, kel. Wawombalara, Mandonga")</f>
        <v>Jl. Osumetundu, kel. Wawombalara, Mandonga</v>
      </c>
      <c r="L225" s="9"/>
      <c r="M225" s="9"/>
      <c r="N225" s="8" t="s">
        <v>19</v>
      </c>
      <c r="O225" s="9"/>
      <c r="P225" s="9"/>
      <c r="Q225" s="9"/>
      <c r="R225" s="10" t="str">
        <f>IFERROR(__xludf.DUMMYFUNCTION("""COMPUTED_VALUE"""),"BK")</f>
        <v>BK</v>
      </c>
      <c r="S225" s="9"/>
    </row>
    <row r="226" ht="22.5" customHeight="1">
      <c r="A226" s="6">
        <v>225.0</v>
      </c>
      <c r="B226" s="9" t="str">
        <f>IFERROR(__xludf.DUMMYFUNCTION("""COMPUTED_VALUE"""),"Pemasangan Instalasi Listrik Bangunan Sederhana")</f>
        <v>Pemasangan Instalasi Listrik Bangunan Sederhana</v>
      </c>
      <c r="C226" s="9" t="str">
        <f>IFERROR(__xludf.DUMMYFUNCTION("""COMPUTED_VALUE"""),"SMK Negeri 2 Kendari")</f>
        <v>SMK Negeri 2 Kendari</v>
      </c>
      <c r="D226" s="9"/>
      <c r="E226" s="9"/>
      <c r="F226" s="9" t="str">
        <f>IFERROR(__xludf.DUMMYFUNCTION("""COMPUTED_VALUE"""),"Romi Aris Putra")</f>
        <v>Romi Aris Putra</v>
      </c>
      <c r="G226" s="9" t="str">
        <f>IFERROR(__xludf.DUMMYFUNCTION("""COMPUTED_VALUE"""),"7471030602070001")</f>
        <v>7471030602070001</v>
      </c>
      <c r="H226" s="9"/>
      <c r="I226" s="9"/>
      <c r="J226" s="10" t="str">
        <f>IFERROR(__xludf.DUMMYFUNCTION("""COMPUTED_VALUE"""),"LAKI-LAKI")</f>
        <v>LAKI-LAKI</v>
      </c>
      <c r="K226" s="9" t="str">
        <f>IFERROR(__xludf.DUMMYFUNCTION("""COMPUTED_VALUE"""),"BTN Lepo-Lepo Permai")</f>
        <v>BTN Lepo-Lepo Permai</v>
      </c>
      <c r="L226" s="9"/>
      <c r="M226" s="9"/>
      <c r="N226" s="8" t="s">
        <v>19</v>
      </c>
      <c r="O226" s="9"/>
      <c r="P226" s="9"/>
      <c r="Q226" s="9"/>
      <c r="R226" s="10" t="str">
        <f>IFERROR(__xludf.DUMMYFUNCTION("""COMPUTED_VALUE"""),"K")</f>
        <v>K</v>
      </c>
      <c r="S226" s="9"/>
    </row>
    <row r="227" ht="22.5" customHeight="1">
      <c r="A227" s="6">
        <v>226.0</v>
      </c>
      <c r="B227" s="9" t="str">
        <f>IFERROR(__xludf.DUMMYFUNCTION("""COMPUTED_VALUE"""),"Pemasangan Instalasi Listrik Bangunan Sederhana")</f>
        <v>Pemasangan Instalasi Listrik Bangunan Sederhana</v>
      </c>
      <c r="C227" s="9" t="str">
        <f>IFERROR(__xludf.DUMMYFUNCTION("""COMPUTED_VALUE"""),"SMK Negeri 2 Kendari")</f>
        <v>SMK Negeri 2 Kendari</v>
      </c>
      <c r="D227" s="9"/>
      <c r="E227" s="9"/>
      <c r="F227" s="9" t="str">
        <f>IFERROR(__xludf.DUMMYFUNCTION("""COMPUTED_VALUE"""),"Sardin")</f>
        <v>Sardin</v>
      </c>
      <c r="G227" s="9" t="str">
        <f>IFERROR(__xludf.DUMMYFUNCTION("""COMPUTED_VALUE"""),"7405101311070001")</f>
        <v>7405101311070001</v>
      </c>
      <c r="H227" s="9"/>
      <c r="I227" s="9"/>
      <c r="J227" s="10" t="str">
        <f>IFERROR(__xludf.DUMMYFUNCTION("""COMPUTED_VALUE"""),"LAKI-LAKI")</f>
        <v>LAKI-LAKI</v>
      </c>
      <c r="K227" s="9" t="str">
        <f>IFERROR(__xludf.DUMMYFUNCTION("""COMPUTED_VALUE"""),"Jl. Imam Bonjol Labibia")</f>
        <v>Jl. Imam Bonjol Labibia</v>
      </c>
      <c r="L227" s="9"/>
      <c r="M227" s="9"/>
      <c r="N227" s="8" t="s">
        <v>19</v>
      </c>
      <c r="O227" s="9"/>
      <c r="P227" s="9"/>
      <c r="Q227" s="9"/>
      <c r="R227" s="10" t="str">
        <f>IFERROR(__xludf.DUMMYFUNCTION("""COMPUTED_VALUE"""),"K")</f>
        <v>K</v>
      </c>
      <c r="S227" s="9"/>
    </row>
    <row r="228" ht="22.5" customHeight="1">
      <c r="A228" s="6">
        <v>227.0</v>
      </c>
      <c r="B228" s="9" t="str">
        <f>IFERROR(__xludf.DUMMYFUNCTION("""COMPUTED_VALUE"""),"Pemasangan Instalasi Listrik Bangunan Sederhana")</f>
        <v>Pemasangan Instalasi Listrik Bangunan Sederhana</v>
      </c>
      <c r="C228" s="9" t="str">
        <f>IFERROR(__xludf.DUMMYFUNCTION("""COMPUTED_VALUE"""),"SMK Negeri 2 Kendari")</f>
        <v>SMK Negeri 2 Kendari</v>
      </c>
      <c r="D228" s="9"/>
      <c r="E228" s="9"/>
      <c r="F228" s="9" t="str">
        <f>IFERROR(__xludf.DUMMYFUNCTION("""COMPUTED_VALUE"""),"Sastra Abadi")</f>
        <v>Sastra Abadi</v>
      </c>
      <c r="G228" s="9" t="str">
        <f>IFERROR(__xludf.DUMMYFUNCTION("""COMPUTED_VALUE"""),"7206031306080001")</f>
        <v>7206031306080001</v>
      </c>
      <c r="H228" s="9"/>
      <c r="I228" s="9"/>
      <c r="J228" s="10" t="str">
        <f>IFERROR(__xludf.DUMMYFUNCTION("""COMPUTED_VALUE"""),"LAKI-LAKI")</f>
        <v>LAKI-LAKI</v>
      </c>
      <c r="K228" s="9" t="str">
        <f>IFERROR(__xludf.DUMMYFUNCTION("""COMPUTED_VALUE"""),"Kel. Wundodopi, Kec. Baruga, Kota Kendari")</f>
        <v>Kel. Wundodopi, Kec. Baruga, Kota Kendari</v>
      </c>
      <c r="L228" s="9"/>
      <c r="M228" s="9"/>
      <c r="N228" s="8" t="s">
        <v>19</v>
      </c>
      <c r="O228" s="9"/>
      <c r="P228" s="9"/>
      <c r="Q228" s="9"/>
      <c r="R228" s="10" t="str">
        <f>IFERROR(__xludf.DUMMYFUNCTION("""COMPUTED_VALUE"""),"K")</f>
        <v>K</v>
      </c>
      <c r="S228" s="9"/>
    </row>
    <row r="229" ht="22.5" customHeight="1">
      <c r="A229" s="6">
        <v>228.0</v>
      </c>
      <c r="B229" s="9" t="str">
        <f>IFERROR(__xludf.DUMMYFUNCTION("""COMPUTED_VALUE"""),"Pemasangan Instalasi Listrik Bangunan Sederhana")</f>
        <v>Pemasangan Instalasi Listrik Bangunan Sederhana</v>
      </c>
      <c r="C229" s="9" t="str">
        <f>IFERROR(__xludf.DUMMYFUNCTION("""COMPUTED_VALUE"""),"SMK Negeri 2 Kendari")</f>
        <v>SMK Negeri 2 Kendari</v>
      </c>
      <c r="D229" s="9"/>
      <c r="E229" s="9"/>
      <c r="F229" s="9" t="str">
        <f>IFERROR(__xludf.DUMMYFUNCTION("""COMPUTED_VALUE"""),"Tri Kevin Saputra")</f>
        <v>Tri Kevin Saputra</v>
      </c>
      <c r="G229" s="9" t="str">
        <f>IFERROR(__xludf.DUMMYFUNCTION("""COMPUTED_VALUE"""),"7405072303090001")</f>
        <v>7405072303090001</v>
      </c>
      <c r="H229" s="9"/>
      <c r="I229" s="9"/>
      <c r="J229" s="10" t="str">
        <f>IFERROR(__xludf.DUMMYFUNCTION("""COMPUTED_VALUE"""),"LAKI-LAKI")</f>
        <v>LAKI-LAKI</v>
      </c>
      <c r="K229" s="9" t="str">
        <f>IFERROR(__xludf.DUMMYFUNCTION("""COMPUTED_VALUE"""),"Desa Lambusa, Kec. Konda, Kab. Konawe Selatan")</f>
        <v>Desa Lambusa, Kec. Konda, Kab. Konawe Selatan</v>
      </c>
      <c r="L229" s="9"/>
      <c r="M229" s="9"/>
      <c r="N229" s="8" t="s">
        <v>19</v>
      </c>
      <c r="O229" s="9"/>
      <c r="P229" s="9"/>
      <c r="Q229" s="9"/>
      <c r="R229" s="10" t="str">
        <f>IFERROR(__xludf.DUMMYFUNCTION("""COMPUTED_VALUE"""),"K")</f>
        <v>K</v>
      </c>
      <c r="S229" s="9"/>
    </row>
    <row r="230" ht="22.5" customHeight="1">
      <c r="A230" s="6">
        <v>229.0</v>
      </c>
      <c r="B230" s="9" t="str">
        <f>IFERROR(__xludf.DUMMYFUNCTION("""COMPUTED_VALUE"""),"Pemasangan Instalasi Listrik Bangunan Sederhana")</f>
        <v>Pemasangan Instalasi Listrik Bangunan Sederhana</v>
      </c>
      <c r="C230" s="9" t="str">
        <f>IFERROR(__xludf.DUMMYFUNCTION("""COMPUTED_VALUE"""),"SMK Negeri 2 Kendari")</f>
        <v>SMK Negeri 2 Kendari</v>
      </c>
      <c r="D230" s="9"/>
      <c r="E230" s="9"/>
      <c r="F230" s="9" t="str">
        <f>IFERROR(__xludf.DUMMYFUNCTION("""COMPUTED_VALUE"""),"Yun Sharun")</f>
        <v>Yun Sharun</v>
      </c>
      <c r="G230" s="9" t="str">
        <f>IFERROR(__xludf.DUMMYFUNCTION("""COMPUTED_VALUE"""),"7471051007070001")</f>
        <v>7471051007070001</v>
      </c>
      <c r="H230" s="9"/>
      <c r="I230" s="9"/>
      <c r="J230" s="10" t="str">
        <f>IFERROR(__xludf.DUMMYFUNCTION("""COMPUTED_VALUE"""),"LAKI-LAKI")</f>
        <v>LAKI-LAKI</v>
      </c>
      <c r="K230" s="9" t="str">
        <f>IFERROR(__xludf.DUMMYFUNCTION("""COMPUTED_VALUE"""),"Jl. Tapak Kuda Bypass")</f>
        <v>Jl. Tapak Kuda Bypass</v>
      </c>
      <c r="L230" s="9"/>
      <c r="M230" s="9"/>
      <c r="N230" s="8" t="s">
        <v>19</v>
      </c>
      <c r="O230" s="9"/>
      <c r="P230" s="9"/>
      <c r="Q230" s="9"/>
      <c r="R230" s="10" t="str">
        <f>IFERROR(__xludf.DUMMYFUNCTION("""COMPUTED_VALUE"""),"K")</f>
        <v>K</v>
      </c>
      <c r="S230" s="9"/>
    </row>
    <row r="231" ht="22.5" customHeight="1">
      <c r="A231" s="6">
        <v>230.0</v>
      </c>
      <c r="B231" s="9" t="str">
        <f>IFERROR(__xludf.DUMMYFUNCTION("""COMPUTED_VALUE"""),"Pemrograman Web")</f>
        <v>Pemrograman Web</v>
      </c>
      <c r="C231" s="9" t="str">
        <f>IFERROR(__xludf.DUMMYFUNCTION("""COMPUTED_VALUE"""),"SMK Negeri 6 Kendari")</f>
        <v>SMK Negeri 6 Kendari</v>
      </c>
      <c r="D231" s="9"/>
      <c r="E231" s="9"/>
      <c r="F231" s="9" t="str">
        <f>IFERROR(__xludf.DUMMYFUNCTION("""COMPUTED_VALUE"""),"Putri Kateryna")</f>
        <v>Putri Kateryna</v>
      </c>
      <c r="G231" s="9" t="str">
        <f>IFERROR(__xludf.DUMMYFUNCTION("""COMPUTED_VALUE"""),"7471032006130001")</f>
        <v>7471032006130001</v>
      </c>
      <c r="H231" s="9"/>
      <c r="I231" s="9"/>
      <c r="J231" s="10" t="str">
        <f>IFERROR(__xludf.DUMMYFUNCTION("""COMPUTED_VALUE"""),"LAKI-LAKI")</f>
        <v>LAKI-LAKI</v>
      </c>
      <c r="K231" s="9" t="str">
        <f>IFERROR(__xludf.DUMMYFUNCTION("""COMPUTED_VALUE"""),"Jl. Saddan")</f>
        <v>Jl. Saddan</v>
      </c>
      <c r="L231" s="9"/>
      <c r="M231" s="9"/>
      <c r="N231" s="8" t="s">
        <v>19</v>
      </c>
      <c r="O231" s="9"/>
      <c r="P231" s="9"/>
      <c r="Q231" s="9"/>
      <c r="R231" s="10" t="str">
        <f>IFERROR(__xludf.DUMMYFUNCTION("""COMPUTED_VALUE"""),"K")</f>
        <v>K</v>
      </c>
      <c r="S231" s="9"/>
    </row>
    <row r="232" ht="22.5" customHeight="1">
      <c r="A232" s="6">
        <v>231.0</v>
      </c>
      <c r="B232" s="9" t="str">
        <f>IFERROR(__xludf.DUMMYFUNCTION("""COMPUTED_VALUE"""),"Pemrograman Web")</f>
        <v>Pemrograman Web</v>
      </c>
      <c r="C232" s="9" t="str">
        <f>IFERROR(__xludf.DUMMYFUNCTION("""COMPUTED_VALUE"""),"SMK Negeri 6 Kendari")</f>
        <v>SMK Negeri 6 Kendari</v>
      </c>
      <c r="D232" s="9"/>
      <c r="E232" s="9"/>
      <c r="F232" s="9" t="str">
        <f>IFERROR(__xludf.DUMMYFUNCTION("""COMPUTED_VALUE"""),"Andi Tiara Rani. A.")</f>
        <v>Andi Tiara Rani. A.</v>
      </c>
      <c r="G232" s="9" t="str">
        <f>IFERROR(__xludf.DUMMYFUNCTION("""COMPUTED_VALUE"""),"7471085002080001")</f>
        <v>7471085002080001</v>
      </c>
      <c r="H232" s="9"/>
      <c r="I232" s="9"/>
      <c r="J232" s="10" t="str">
        <f>IFERROR(__xludf.DUMMYFUNCTION("""COMPUTED_VALUE"""),"PEREMPUAN")</f>
        <v>PEREMPUAN</v>
      </c>
      <c r="K232" s="9" t="str">
        <f>IFERROR(__xludf.DUMMYFUNCTION("""COMPUTED_VALUE"""),"BTN Bukit Baringeng Permai Blok I No. 7")</f>
        <v>BTN Bukit Baringeng Permai Blok I No. 7</v>
      </c>
      <c r="L232" s="9"/>
      <c r="M232" s="9"/>
      <c r="N232" s="8" t="s">
        <v>19</v>
      </c>
      <c r="O232" s="9"/>
      <c r="P232" s="9"/>
      <c r="Q232" s="9"/>
      <c r="R232" s="10" t="str">
        <f>IFERROR(__xludf.DUMMYFUNCTION("""COMPUTED_VALUE"""),"K")</f>
        <v>K</v>
      </c>
      <c r="S232" s="9"/>
    </row>
    <row r="233" ht="22.5" customHeight="1">
      <c r="A233" s="6">
        <v>232.0</v>
      </c>
      <c r="B233" s="9" t="str">
        <f>IFERROR(__xludf.DUMMYFUNCTION("""COMPUTED_VALUE"""),"Pemrograman Web")</f>
        <v>Pemrograman Web</v>
      </c>
      <c r="C233" s="9" t="str">
        <f>IFERROR(__xludf.DUMMYFUNCTION("""COMPUTED_VALUE"""),"SMK Negeri 6 Kendari")</f>
        <v>SMK Negeri 6 Kendari</v>
      </c>
      <c r="D233" s="9"/>
      <c r="E233" s="9"/>
      <c r="F233" s="9" t="str">
        <f>IFERROR(__xludf.DUMMYFUNCTION("""COMPUTED_VALUE"""),"Jordyhi Bangun Tabang")</f>
        <v>Jordyhi Bangun Tabang</v>
      </c>
      <c r="G233" s="9" t="str">
        <f>IFERROR(__xludf.DUMMYFUNCTION("""COMPUTED_VALUE"""),"7371093108080003")</f>
        <v>7371093108080003</v>
      </c>
      <c r="H233" s="9"/>
      <c r="I233" s="9"/>
      <c r="J233" s="10" t="str">
        <f>IFERROR(__xludf.DUMMYFUNCTION("""COMPUTED_VALUE"""),"LAKI-LAKI")</f>
        <v>LAKI-LAKI</v>
      </c>
      <c r="K233" s="9" t="str">
        <f>IFERROR(__xludf.DUMMYFUNCTION("""COMPUTED_VALUE"""),"Jln. Ade Irma Nasution")</f>
        <v>Jln. Ade Irma Nasution</v>
      </c>
      <c r="L233" s="9"/>
      <c r="M233" s="9"/>
      <c r="N233" s="8" t="s">
        <v>19</v>
      </c>
      <c r="O233" s="9"/>
      <c r="P233" s="9"/>
      <c r="Q233" s="9"/>
      <c r="R233" s="10" t="str">
        <f>IFERROR(__xludf.DUMMYFUNCTION("""COMPUTED_VALUE"""),"K")</f>
        <v>K</v>
      </c>
      <c r="S233" s="9"/>
    </row>
    <row r="234" ht="22.5" customHeight="1">
      <c r="A234" s="6">
        <v>233.0</v>
      </c>
      <c r="B234" s="9" t="str">
        <f>IFERROR(__xludf.DUMMYFUNCTION("""COMPUTED_VALUE"""),"Pemrograman Web")</f>
        <v>Pemrograman Web</v>
      </c>
      <c r="C234" s="9" t="str">
        <f>IFERROR(__xludf.DUMMYFUNCTION("""COMPUTED_VALUE"""),"SMK Negeri 6 Kendari")</f>
        <v>SMK Negeri 6 Kendari</v>
      </c>
      <c r="D234" s="9"/>
      <c r="E234" s="9"/>
      <c r="F234" s="9" t="str">
        <f>IFERROR(__xludf.DUMMYFUNCTION("""COMPUTED_VALUE"""),"Wulan Nur Aysa")</f>
        <v>Wulan Nur Aysa</v>
      </c>
      <c r="G234" s="9" t="str">
        <f>IFERROR(__xludf.DUMMYFUNCTION("""COMPUTED_VALUE"""),"7471066209070001")</f>
        <v>7471066209070001</v>
      </c>
      <c r="H234" s="9"/>
      <c r="I234" s="9"/>
      <c r="J234" s="10" t="str">
        <f>IFERROR(__xludf.DUMMYFUNCTION("""COMPUTED_VALUE"""),"PEREMPUAN")</f>
        <v>PEREMPUAN</v>
      </c>
      <c r="K234" s="9" t="str">
        <f>IFERROR(__xludf.DUMMYFUNCTION("""COMPUTED_VALUE"""),"Kel. Benua nirae, Kec. Abeli")</f>
        <v>Kel. Benua nirae, Kec. Abeli</v>
      </c>
      <c r="L234" s="9"/>
      <c r="M234" s="9"/>
      <c r="N234" s="8" t="s">
        <v>19</v>
      </c>
      <c r="O234" s="9"/>
      <c r="P234" s="9"/>
      <c r="Q234" s="9"/>
      <c r="R234" s="10" t="str">
        <f>IFERROR(__xludf.DUMMYFUNCTION("""COMPUTED_VALUE"""),"K")</f>
        <v>K</v>
      </c>
      <c r="S234" s="9"/>
    </row>
    <row r="235" ht="22.5" customHeight="1">
      <c r="A235" s="6">
        <v>234.0</v>
      </c>
      <c r="B235" s="9" t="str">
        <f>IFERROR(__xludf.DUMMYFUNCTION("""COMPUTED_VALUE"""),"Pemrograman Web")</f>
        <v>Pemrograman Web</v>
      </c>
      <c r="C235" s="9" t="str">
        <f>IFERROR(__xludf.DUMMYFUNCTION("""COMPUTED_VALUE"""),"SMK Negeri 6 Kendari")</f>
        <v>SMK Negeri 6 Kendari</v>
      </c>
      <c r="D235" s="9"/>
      <c r="E235" s="9"/>
      <c r="F235" s="9" t="str">
        <f>IFERROR(__xludf.DUMMYFUNCTION("""COMPUTED_VALUE"""),"Nabila Trisanti")</f>
        <v>Nabila Trisanti</v>
      </c>
      <c r="G235" s="9" t="str">
        <f>IFERROR(__xludf.DUMMYFUNCTION("""COMPUTED_VALUE"""),"7405084702080001")</f>
        <v>7405084702080001</v>
      </c>
      <c r="H235" s="9"/>
      <c r="I235" s="9"/>
      <c r="J235" s="10" t="str">
        <f>IFERROR(__xludf.DUMMYFUNCTION("""COMPUTED_VALUE"""),"PEREMPUAN")</f>
        <v>PEREMPUAN</v>
      </c>
      <c r="K235" s="9" t="str">
        <f>IFERROR(__xludf.DUMMYFUNCTION("""COMPUTED_VALUE"""),"Jl. Mawar, Kota Bangun, Ranomeeto")</f>
        <v>Jl. Mawar, Kota Bangun, Ranomeeto</v>
      </c>
      <c r="L235" s="9"/>
      <c r="M235" s="9"/>
      <c r="N235" s="8" t="s">
        <v>19</v>
      </c>
      <c r="O235" s="9"/>
      <c r="P235" s="9"/>
      <c r="Q235" s="9"/>
      <c r="R235" s="10" t="str">
        <f>IFERROR(__xludf.DUMMYFUNCTION("""COMPUTED_VALUE"""),"K")</f>
        <v>K</v>
      </c>
      <c r="S235" s="9"/>
    </row>
    <row r="236" ht="22.5" customHeight="1">
      <c r="A236" s="6">
        <v>235.0</v>
      </c>
      <c r="B236" s="9" t="str">
        <f>IFERROR(__xludf.DUMMYFUNCTION("""COMPUTED_VALUE"""),"Pemrograman Web")</f>
        <v>Pemrograman Web</v>
      </c>
      <c r="C236" s="9" t="str">
        <f>IFERROR(__xludf.DUMMYFUNCTION("""COMPUTED_VALUE"""),"SMK Negeri 6 Kendari")</f>
        <v>SMK Negeri 6 Kendari</v>
      </c>
      <c r="D236" s="9"/>
      <c r="E236" s="9"/>
      <c r="F236" s="9" t="str">
        <f>IFERROR(__xludf.DUMMYFUNCTION("""COMPUTED_VALUE"""),"Juwitha Avrilya Zainuddin")</f>
        <v>Juwitha Avrilya Zainuddin</v>
      </c>
      <c r="G236" s="9" t="str">
        <f>IFERROR(__xludf.DUMMYFUNCTION("""COMPUTED_VALUE"""),"7471035104080002")</f>
        <v>7471035104080002</v>
      </c>
      <c r="H236" s="9"/>
      <c r="I236" s="9"/>
      <c r="J236" s="10" t="str">
        <f>IFERROR(__xludf.DUMMYFUNCTION("""COMPUTED_VALUE"""),"PEREMPUAN")</f>
        <v>PEREMPUAN</v>
      </c>
      <c r="K236" s="9" t="str">
        <f>IFERROR(__xludf.DUMMYFUNCTION("""COMPUTED_VALUE"""),"Jl. Bukit, Lepo-lepo")</f>
        <v>Jl. Bukit, Lepo-lepo</v>
      </c>
      <c r="L236" s="9"/>
      <c r="M236" s="9"/>
      <c r="N236" s="8" t="s">
        <v>19</v>
      </c>
      <c r="O236" s="9"/>
      <c r="P236" s="9"/>
      <c r="Q236" s="9"/>
      <c r="R236" s="10" t="str">
        <f>IFERROR(__xludf.DUMMYFUNCTION("""COMPUTED_VALUE"""),"K")</f>
        <v>K</v>
      </c>
      <c r="S236" s="9"/>
    </row>
    <row r="237" ht="22.5" customHeight="1">
      <c r="A237" s="6">
        <v>236.0</v>
      </c>
      <c r="B237" s="9" t="str">
        <f>IFERROR(__xludf.DUMMYFUNCTION("""COMPUTED_VALUE"""),"Pemrograman Web")</f>
        <v>Pemrograman Web</v>
      </c>
      <c r="C237" s="9" t="str">
        <f>IFERROR(__xludf.DUMMYFUNCTION("""COMPUTED_VALUE"""),"SMK Negeri 6 Kendari")</f>
        <v>SMK Negeri 6 Kendari</v>
      </c>
      <c r="D237" s="9"/>
      <c r="E237" s="9"/>
      <c r="F237" s="9" t="str">
        <f>IFERROR(__xludf.DUMMYFUNCTION("""COMPUTED_VALUE"""),"Nurhalisa")</f>
        <v>Nurhalisa</v>
      </c>
      <c r="G237" s="9" t="str">
        <f>IFERROR(__xludf.DUMMYFUNCTION("""COMPUTED_VALUE"""),"7307084509060003")</f>
        <v>7307084509060003</v>
      </c>
      <c r="H237" s="9"/>
      <c r="I237" s="9"/>
      <c r="J237" s="10" t="str">
        <f>IFERROR(__xludf.DUMMYFUNCTION("""COMPUTED_VALUE"""),"PEREMPUAN")</f>
        <v>PEREMPUAN</v>
      </c>
      <c r="K237" s="9" t="str">
        <f>IFERROR(__xludf.DUMMYFUNCTION("""COMPUTED_VALUE"""),"Jl. KS Tubun, Baruga")</f>
        <v>Jl. KS Tubun, Baruga</v>
      </c>
      <c r="L237" s="9"/>
      <c r="M237" s="9"/>
      <c r="N237" s="8" t="s">
        <v>19</v>
      </c>
      <c r="O237" s="9"/>
      <c r="P237" s="9"/>
      <c r="Q237" s="9"/>
      <c r="R237" s="10" t="str">
        <f>IFERROR(__xludf.DUMMYFUNCTION("""COMPUTED_VALUE"""),"K")</f>
        <v>K</v>
      </c>
      <c r="S237" s="9"/>
    </row>
    <row r="238" ht="22.5" customHeight="1">
      <c r="A238" s="6">
        <v>237.0</v>
      </c>
      <c r="B238" s="9" t="str">
        <f>IFERROR(__xludf.DUMMYFUNCTION("""COMPUTED_VALUE"""),"Pemrograman Web")</f>
        <v>Pemrograman Web</v>
      </c>
      <c r="C238" s="9" t="str">
        <f>IFERROR(__xludf.DUMMYFUNCTION("""COMPUTED_VALUE"""),"SMK Negeri 6 Kendari")</f>
        <v>SMK Negeri 6 Kendari</v>
      </c>
      <c r="D238" s="9"/>
      <c r="E238" s="9"/>
      <c r="F238" s="9" t="str">
        <f>IFERROR(__xludf.DUMMYFUNCTION("""COMPUTED_VALUE"""),"M. Tiyo Safroni")</f>
        <v>M. Tiyo Safroni</v>
      </c>
      <c r="G238" s="9" t="str">
        <f>IFERROR(__xludf.DUMMYFUNCTION("""COMPUTED_VALUE"""),"3510071011070001")</f>
        <v>3510071011070001</v>
      </c>
      <c r="H238" s="9"/>
      <c r="I238" s="9"/>
      <c r="J238" s="10" t="str">
        <f>IFERROR(__xludf.DUMMYFUNCTION("""COMPUTED_VALUE"""),"LAKI-LAKI")</f>
        <v>LAKI-LAKI</v>
      </c>
      <c r="K238" s="9" t="str">
        <f>IFERROR(__xludf.DUMMYFUNCTION("""COMPUTED_VALUE"""),"Jl. Kampung Baru")</f>
        <v>Jl. Kampung Baru</v>
      </c>
      <c r="L238" s="9"/>
      <c r="M238" s="9"/>
      <c r="N238" s="8" t="s">
        <v>19</v>
      </c>
      <c r="O238" s="9"/>
      <c r="P238" s="9"/>
      <c r="Q238" s="9"/>
      <c r="R238" s="10" t="str">
        <f>IFERROR(__xludf.DUMMYFUNCTION("""COMPUTED_VALUE"""),"K")</f>
        <v>K</v>
      </c>
      <c r="S238" s="9"/>
    </row>
    <row r="239" ht="22.5" customHeight="1">
      <c r="A239" s="6">
        <v>238.0</v>
      </c>
      <c r="B239" s="9" t="str">
        <f>IFERROR(__xludf.DUMMYFUNCTION("""COMPUTED_VALUE"""),"Pemrograman Web")</f>
        <v>Pemrograman Web</v>
      </c>
      <c r="C239" s="9" t="str">
        <f>IFERROR(__xludf.DUMMYFUNCTION("""COMPUTED_VALUE"""),"SMK Negeri 6 Kendari")</f>
        <v>SMK Negeri 6 Kendari</v>
      </c>
      <c r="D239" s="9"/>
      <c r="E239" s="9"/>
      <c r="F239" s="9" t="str">
        <f>IFERROR(__xludf.DUMMYFUNCTION("""COMPUTED_VALUE"""),"Rezky Firwanto")</f>
        <v>Rezky Firwanto</v>
      </c>
      <c r="G239" s="9" t="str">
        <f>IFERROR(__xludf.DUMMYFUNCTION("""COMPUTED_VALUE"""),"7471032904080003")</f>
        <v>7471032904080003</v>
      </c>
      <c r="H239" s="9"/>
      <c r="I239" s="9"/>
      <c r="J239" s="10" t="str">
        <f>IFERROR(__xludf.DUMMYFUNCTION("""COMPUTED_VALUE"""),"LAKI-LAKI")</f>
        <v>LAKI-LAKI</v>
      </c>
      <c r="K239" s="9" t="str">
        <f>IFERROR(__xludf.DUMMYFUNCTION("""COMPUTED_VALUE"""),"Jl. Pasar Baruga")</f>
        <v>Jl. Pasar Baruga</v>
      </c>
      <c r="L239" s="9"/>
      <c r="M239" s="9"/>
      <c r="N239" s="8" t="s">
        <v>19</v>
      </c>
      <c r="O239" s="9"/>
      <c r="P239" s="9"/>
      <c r="Q239" s="9"/>
      <c r="R239" s="10" t="str">
        <f>IFERROR(__xludf.DUMMYFUNCTION("""COMPUTED_VALUE"""),"K")</f>
        <v>K</v>
      </c>
      <c r="S239" s="9"/>
    </row>
    <row r="240" ht="22.5" customHeight="1">
      <c r="A240" s="6">
        <v>239.0</v>
      </c>
      <c r="B240" s="9" t="str">
        <f>IFERROR(__xludf.DUMMYFUNCTION("""COMPUTED_VALUE"""),"Pemrograman Web")</f>
        <v>Pemrograman Web</v>
      </c>
      <c r="C240" s="9" t="str">
        <f>IFERROR(__xludf.DUMMYFUNCTION("""COMPUTED_VALUE"""),"SMK Negeri 6 Kendari")</f>
        <v>SMK Negeri 6 Kendari</v>
      </c>
      <c r="D240" s="9"/>
      <c r="E240" s="9"/>
      <c r="F240" s="9" t="str">
        <f>IFERROR(__xludf.DUMMYFUNCTION("""COMPUTED_VALUE"""),"Ihsan Syarif Nahdli")</f>
        <v>Ihsan Syarif Nahdli</v>
      </c>
      <c r="G240" s="9" t="str">
        <f>IFERROR(__xludf.DUMMYFUNCTION("""COMPUTED_VALUE"""),"7402180205070001")</f>
        <v>7402180205070001</v>
      </c>
      <c r="H240" s="9"/>
      <c r="I240" s="9"/>
      <c r="J240" s="10" t="str">
        <f>IFERROR(__xludf.DUMMYFUNCTION("""COMPUTED_VALUE"""),"LAKI-LAKI")</f>
        <v>LAKI-LAKI</v>
      </c>
      <c r="K240" s="9" t="str">
        <f>IFERROR(__xludf.DUMMYFUNCTION("""COMPUTED_VALUE"""),"Jl. Ade Irma Nasution")</f>
        <v>Jl. Ade Irma Nasution</v>
      </c>
      <c r="L240" s="9"/>
      <c r="M240" s="9"/>
      <c r="N240" s="8" t="s">
        <v>19</v>
      </c>
      <c r="O240" s="9"/>
      <c r="P240" s="9"/>
      <c r="Q240" s="9"/>
      <c r="R240" s="10" t="str">
        <f>IFERROR(__xludf.DUMMYFUNCTION("""COMPUTED_VALUE"""),"K")</f>
        <v>K</v>
      </c>
      <c r="S240" s="9"/>
    </row>
    <row r="241" ht="22.5" customHeight="1">
      <c r="A241" s="6">
        <v>240.0</v>
      </c>
      <c r="B241" s="9" t="str">
        <f>IFERROR(__xludf.DUMMYFUNCTION("""COMPUTED_VALUE"""),"Pemrograman Web")</f>
        <v>Pemrograman Web</v>
      </c>
      <c r="C241" s="9" t="str">
        <f>IFERROR(__xludf.DUMMYFUNCTION("""COMPUTED_VALUE"""),"SMK Negeri 6 Kendari")</f>
        <v>SMK Negeri 6 Kendari</v>
      </c>
      <c r="D241" s="9"/>
      <c r="E241" s="9"/>
      <c r="F241" s="9" t="str">
        <f>IFERROR(__xludf.DUMMYFUNCTION("""COMPUTED_VALUE"""),"La Ode Muhammad Fahmi Dwitama Gani")</f>
        <v>La Ode Muhammad Fahmi Dwitama Gani</v>
      </c>
      <c r="G241" s="9" t="str">
        <f>IFERROR(__xludf.DUMMYFUNCTION("""COMPUTED_VALUE"""),"7471100501080002")</f>
        <v>7471100501080002</v>
      </c>
      <c r="H241" s="9"/>
      <c r="I241" s="9"/>
      <c r="J241" s="10" t="str">
        <f>IFERROR(__xludf.DUMMYFUNCTION("""COMPUTED_VALUE"""),"LAKI-LAKI")</f>
        <v>LAKI-LAKI</v>
      </c>
      <c r="K241" s="9" t="str">
        <f>IFERROR(__xludf.DUMMYFUNCTION("""COMPUTED_VALUE"""),"BTN Puri Tawang Alun 2 Blok H No. 5")</f>
        <v>BTN Puri Tawang Alun 2 Blok H No. 5</v>
      </c>
      <c r="L241" s="9"/>
      <c r="M241" s="9"/>
      <c r="N241" s="8" t="s">
        <v>19</v>
      </c>
      <c r="O241" s="9"/>
      <c r="P241" s="9"/>
      <c r="Q241" s="9"/>
      <c r="R241" s="10" t="str">
        <f>IFERROR(__xludf.DUMMYFUNCTION("""COMPUTED_VALUE"""),"K")</f>
        <v>K</v>
      </c>
      <c r="S241" s="9"/>
    </row>
    <row r="242" ht="22.5" customHeight="1">
      <c r="A242" s="6">
        <v>241.0</v>
      </c>
      <c r="B242" s="9" t="str">
        <f>IFERROR(__xludf.DUMMYFUNCTION("""COMPUTED_VALUE"""),"Pemrograman Web")</f>
        <v>Pemrograman Web</v>
      </c>
      <c r="C242" s="9" t="str">
        <f>IFERROR(__xludf.DUMMYFUNCTION("""COMPUTED_VALUE"""),"SMK Negeri 6 Kendari")</f>
        <v>SMK Negeri 6 Kendari</v>
      </c>
      <c r="D242" s="9"/>
      <c r="E242" s="9"/>
      <c r="F242" s="9" t="str">
        <f>IFERROR(__xludf.DUMMYFUNCTION("""COMPUTED_VALUE"""),"Agiet Geysar Parsa")</f>
        <v>Agiet Geysar Parsa</v>
      </c>
      <c r="G242" s="9" t="str">
        <f>IFERROR(__xludf.DUMMYFUNCTION("""COMPUTED_VALUE"""),"7471092305080001")</f>
        <v>7471092305080001</v>
      </c>
      <c r="H242" s="9"/>
      <c r="I242" s="9"/>
      <c r="J242" s="10" t="str">
        <f>IFERROR(__xludf.DUMMYFUNCTION("""COMPUTED_VALUE"""),"LAKI-LAKI")</f>
        <v>LAKI-LAKI</v>
      </c>
      <c r="K242" s="9" t="str">
        <f>IFERROR(__xludf.DUMMYFUNCTION("""COMPUTED_VALUE"""),"Jalan Samaturu 08")</f>
        <v>Jalan Samaturu 08</v>
      </c>
      <c r="L242" s="9"/>
      <c r="M242" s="9"/>
      <c r="N242" s="8" t="s">
        <v>19</v>
      </c>
      <c r="O242" s="9"/>
      <c r="P242" s="9"/>
      <c r="Q242" s="9"/>
      <c r="R242" s="10" t="str">
        <f>IFERROR(__xludf.DUMMYFUNCTION("""COMPUTED_VALUE"""),"K")</f>
        <v>K</v>
      </c>
      <c r="S242" s="9"/>
    </row>
    <row r="243" ht="22.5" customHeight="1">
      <c r="A243" s="6">
        <v>242.0</v>
      </c>
      <c r="B243" s="9" t="str">
        <f>IFERROR(__xludf.DUMMYFUNCTION("""COMPUTED_VALUE"""),"Pemrograman Web")</f>
        <v>Pemrograman Web</v>
      </c>
      <c r="C243" s="9" t="str">
        <f>IFERROR(__xludf.DUMMYFUNCTION("""COMPUTED_VALUE"""),"SMK Negeri 6 Kendari")</f>
        <v>SMK Negeri 6 Kendari</v>
      </c>
      <c r="D243" s="9"/>
      <c r="E243" s="9"/>
      <c r="F243" s="9" t="str">
        <f>IFERROR(__xludf.DUMMYFUNCTION("""COMPUTED_VALUE"""),"Fadli Pradikta")</f>
        <v>Fadli Pradikta</v>
      </c>
      <c r="G243" s="9" t="str">
        <f>IFERROR(__xludf.DUMMYFUNCTION("""COMPUTED_VALUE"""),"7471032510080002")</f>
        <v>7471032510080002</v>
      </c>
      <c r="H243" s="9"/>
      <c r="I243" s="9"/>
      <c r="J243" s="10" t="str">
        <f>IFERROR(__xludf.DUMMYFUNCTION("""COMPUTED_VALUE"""),"LAKI-LAKI")</f>
        <v>LAKI-LAKI</v>
      </c>
      <c r="K243" s="9" t="str">
        <f>IFERROR(__xludf.DUMMYFUNCTION("""COMPUTED_VALUE"""),"Jl. Ade Irma Nasution")</f>
        <v>Jl. Ade Irma Nasution</v>
      </c>
      <c r="L243" s="9"/>
      <c r="M243" s="9"/>
      <c r="N243" s="8" t="s">
        <v>19</v>
      </c>
      <c r="O243" s="9"/>
      <c r="P243" s="9"/>
      <c r="Q243" s="9"/>
      <c r="R243" s="10" t="str">
        <f>IFERROR(__xludf.DUMMYFUNCTION("""COMPUTED_VALUE"""),"K")</f>
        <v>K</v>
      </c>
      <c r="S243" s="9"/>
    </row>
    <row r="244" ht="22.5" customHeight="1">
      <c r="A244" s="6">
        <v>243.0</v>
      </c>
      <c r="B244" s="9" t="str">
        <f>IFERROR(__xludf.DUMMYFUNCTION("""COMPUTED_VALUE"""),"Pemrograman Web")</f>
        <v>Pemrograman Web</v>
      </c>
      <c r="C244" s="9" t="str">
        <f>IFERROR(__xludf.DUMMYFUNCTION("""COMPUTED_VALUE"""),"SMK Negeri 6 Kendari")</f>
        <v>SMK Negeri 6 Kendari</v>
      </c>
      <c r="D244" s="9"/>
      <c r="E244" s="9"/>
      <c r="F244" s="9" t="str">
        <f>IFERROR(__xludf.DUMMYFUNCTION("""COMPUTED_VALUE"""),"Nur Ardiansyah")</f>
        <v>Nur Ardiansyah</v>
      </c>
      <c r="G244" s="9" t="str">
        <f>IFERROR(__xludf.DUMMYFUNCTION("""COMPUTED_VALUE"""),"7405172804080002")</f>
        <v>7405172804080002</v>
      </c>
      <c r="H244" s="9"/>
      <c r="I244" s="9"/>
      <c r="J244" s="10" t="str">
        <f>IFERROR(__xludf.DUMMYFUNCTION("""COMPUTED_VALUE"""),"LAKI-LAKI")</f>
        <v>LAKI-LAKI</v>
      </c>
      <c r="K244" s="9" t="str">
        <f>IFERROR(__xludf.DUMMYFUNCTION("""COMPUTED_VALUE"""),"Jl. Kampung Baru Puosu Jaya, Kec. Konda")</f>
        <v>Jl. Kampung Baru Puosu Jaya, Kec. Konda</v>
      </c>
      <c r="L244" s="9"/>
      <c r="M244" s="9"/>
      <c r="N244" s="8" t="s">
        <v>19</v>
      </c>
      <c r="O244" s="9"/>
      <c r="P244" s="9"/>
      <c r="Q244" s="9"/>
      <c r="R244" s="10" t="str">
        <f>IFERROR(__xludf.DUMMYFUNCTION("""COMPUTED_VALUE"""),"K")</f>
        <v>K</v>
      </c>
      <c r="S244" s="9"/>
    </row>
    <row r="245" ht="22.5" customHeight="1">
      <c r="A245" s="6">
        <v>244.0</v>
      </c>
      <c r="B245" s="9" t="str">
        <f>IFERROR(__xludf.DUMMYFUNCTION("""COMPUTED_VALUE"""),"Pemrograman Web")</f>
        <v>Pemrograman Web</v>
      </c>
      <c r="C245" s="9" t="str">
        <f>IFERROR(__xludf.DUMMYFUNCTION("""COMPUTED_VALUE"""),"SMK Negeri 6 Kendari")</f>
        <v>SMK Negeri 6 Kendari</v>
      </c>
      <c r="D245" s="9"/>
      <c r="E245" s="9"/>
      <c r="F245" s="9" t="str">
        <f>IFERROR(__xludf.DUMMYFUNCTION("""COMPUTED_VALUE"""),"Gunawan Ahmad Fauzi Billah")</f>
        <v>Gunawan Ahmad Fauzi Billah</v>
      </c>
      <c r="G245" s="9" t="str">
        <f>IFERROR(__xludf.DUMMYFUNCTION("""COMPUTED_VALUE"""),"7405080205090002")</f>
        <v>7405080205090002</v>
      </c>
      <c r="H245" s="9"/>
      <c r="I245" s="9"/>
      <c r="J245" s="10" t="str">
        <f>IFERROR(__xludf.DUMMYFUNCTION("""COMPUTED_VALUE"""),"LAKI-LAKI")</f>
        <v>LAKI-LAKI</v>
      </c>
      <c r="K245" s="9" t="str">
        <f>IFERROR(__xludf.DUMMYFUNCTION("""COMPUTED_VALUE"""),"Jl. Simbo / Lrg. Mandiri, RW 01/RT 01")</f>
        <v>Jl. Simbo / Lrg. Mandiri, RW 01/RT 01</v>
      </c>
      <c r="L245" s="9"/>
      <c r="M245" s="9"/>
      <c r="N245" s="8" t="s">
        <v>19</v>
      </c>
      <c r="O245" s="9"/>
      <c r="P245" s="9"/>
      <c r="Q245" s="9"/>
      <c r="R245" s="10" t="str">
        <f>IFERROR(__xludf.DUMMYFUNCTION("""COMPUTED_VALUE"""),"K")</f>
        <v>K</v>
      </c>
      <c r="S245" s="9"/>
    </row>
    <row r="246" ht="22.5" customHeight="1">
      <c r="A246" s="6">
        <v>245.0</v>
      </c>
      <c r="B246" s="9" t="str">
        <f>IFERROR(__xludf.DUMMYFUNCTION("""COMPUTED_VALUE"""),"Pemrograman Web")</f>
        <v>Pemrograman Web</v>
      </c>
      <c r="C246" s="9" t="str">
        <f>IFERROR(__xludf.DUMMYFUNCTION("""COMPUTED_VALUE"""),"SMK Negeri 6 Kendari")</f>
        <v>SMK Negeri 6 Kendari</v>
      </c>
      <c r="D246" s="9"/>
      <c r="E246" s="9"/>
      <c r="F246" s="9" t="str">
        <f>IFERROR(__xludf.DUMMYFUNCTION("""COMPUTED_VALUE"""),"Umair Al fatih")</f>
        <v>Umair Al fatih</v>
      </c>
      <c r="G246" s="9" t="str">
        <f>IFERROR(__xludf.DUMMYFUNCTION("""COMPUTED_VALUE"""),"7371130901070009")</f>
        <v>7371130901070009</v>
      </c>
      <c r="H246" s="9"/>
      <c r="I246" s="9"/>
      <c r="J246" s="10" t="str">
        <f>IFERROR(__xludf.DUMMYFUNCTION("""COMPUTED_VALUE"""),"LAKI-LAKI")</f>
        <v>LAKI-LAKI</v>
      </c>
      <c r="K246" s="9" t="str">
        <f>IFERROR(__xludf.DUMMYFUNCTION("""COMPUTED_VALUE"""),"Dekat BTN Tawang Alun 2")</f>
        <v>Dekat BTN Tawang Alun 2</v>
      </c>
      <c r="L246" s="9"/>
      <c r="M246" s="9"/>
      <c r="N246" s="8" t="s">
        <v>19</v>
      </c>
      <c r="O246" s="9"/>
      <c r="P246" s="9"/>
      <c r="Q246" s="9"/>
      <c r="R246" s="10" t="str">
        <f>IFERROR(__xludf.DUMMYFUNCTION("""COMPUTED_VALUE"""),"K")</f>
        <v>K</v>
      </c>
      <c r="S246" s="9"/>
    </row>
    <row r="247" ht="22.5" customHeight="1">
      <c r="A247" s="6">
        <v>246.0</v>
      </c>
      <c r="B247" s="9" t="str">
        <f>IFERROR(__xludf.DUMMYFUNCTION("""COMPUTED_VALUE"""),"Pemrograman Web")</f>
        <v>Pemrograman Web</v>
      </c>
      <c r="C247" s="9" t="str">
        <f>IFERROR(__xludf.DUMMYFUNCTION("""COMPUTED_VALUE"""),"SMK Negeri 6 Kendari")</f>
        <v>SMK Negeri 6 Kendari</v>
      </c>
      <c r="D247" s="9"/>
      <c r="E247" s="9"/>
      <c r="F247" s="9" t="str">
        <f>IFERROR(__xludf.DUMMYFUNCTION("""COMPUTED_VALUE"""),"Nurul Aulia Ode")</f>
        <v>Nurul Aulia Ode</v>
      </c>
      <c r="G247" s="9" t="str">
        <f>IFERROR(__xludf.DUMMYFUNCTION("""COMPUTED_VALUE"""),"7471075301090001")</f>
        <v>7471075301090001</v>
      </c>
      <c r="H247" s="9"/>
      <c r="I247" s="9"/>
      <c r="J247" s="10" t="str">
        <f>IFERROR(__xludf.DUMMYFUNCTION("""COMPUTED_VALUE"""),"PEREMPUAN")</f>
        <v>PEREMPUAN</v>
      </c>
      <c r="K247" s="9" t="str">
        <f>IFERROR(__xludf.DUMMYFUNCTION("""COMPUTED_VALUE"""),"Jl. Ade Irma Nasution")</f>
        <v>Jl. Ade Irma Nasution</v>
      </c>
      <c r="L247" s="9"/>
      <c r="M247" s="9"/>
      <c r="N247" s="8" t="s">
        <v>19</v>
      </c>
      <c r="O247" s="9"/>
      <c r="P247" s="9"/>
      <c r="Q247" s="9"/>
      <c r="R247" s="10" t="str">
        <f>IFERROR(__xludf.DUMMYFUNCTION("""COMPUTED_VALUE"""),"K")</f>
        <v>K</v>
      </c>
      <c r="S247" s="9"/>
    </row>
    <row r="248" ht="22.5" customHeight="1">
      <c r="A248" s="6">
        <v>247.0</v>
      </c>
      <c r="B248" s="9" t="str">
        <f>IFERROR(__xludf.DUMMYFUNCTION("""COMPUTED_VALUE"""),"Pemrograman Web")</f>
        <v>Pemrograman Web</v>
      </c>
      <c r="C248" s="9" t="str">
        <f>IFERROR(__xludf.DUMMYFUNCTION("""COMPUTED_VALUE"""),"SMK Negeri 6 Kendari")</f>
        <v>SMK Negeri 6 Kendari</v>
      </c>
      <c r="D248" s="9"/>
      <c r="E248" s="9"/>
      <c r="F248" s="9" t="str">
        <f>IFERROR(__xludf.DUMMYFUNCTION("""COMPUTED_VALUE"""),"Putri Aminarti")</f>
        <v>Putri Aminarti</v>
      </c>
      <c r="G248" s="9" t="str">
        <f>IFERROR(__xludf.DUMMYFUNCTION("""COMPUTED_VALUE"""),"7405085012070001")</f>
        <v>7405085012070001</v>
      </c>
      <c r="H248" s="9"/>
      <c r="I248" s="9"/>
      <c r="J248" s="10" t="str">
        <f>IFERROR(__xludf.DUMMYFUNCTION("""COMPUTED_VALUE"""),"PEREMPUAN")</f>
        <v>PEREMPUAN</v>
      </c>
      <c r="K248" s="9" t="str">
        <f>IFERROR(__xludf.DUMMYFUNCTION("""COMPUTED_VALUE"""),"Jl. Mawar, Desa Kota Bangun, Kec. Ranomeeto, Konawe Selatan")</f>
        <v>Jl. Mawar, Desa Kota Bangun, Kec. Ranomeeto, Konawe Selatan</v>
      </c>
      <c r="L248" s="9"/>
      <c r="M248" s="9"/>
      <c r="N248" s="8" t="s">
        <v>19</v>
      </c>
      <c r="O248" s="9"/>
      <c r="P248" s="9"/>
      <c r="Q248" s="9"/>
      <c r="R248" s="10" t="str">
        <f>IFERROR(__xludf.DUMMYFUNCTION("""COMPUTED_VALUE"""),"K")</f>
        <v>K</v>
      </c>
      <c r="S248" s="9"/>
    </row>
    <row r="249" ht="22.5" customHeight="1">
      <c r="A249" s="6">
        <v>248.0</v>
      </c>
      <c r="B249" s="9" t="str">
        <f>IFERROR(__xludf.DUMMYFUNCTION("""COMPUTED_VALUE"""),"Pemrograman Web")</f>
        <v>Pemrograman Web</v>
      </c>
      <c r="C249" s="9" t="str">
        <f>IFERROR(__xludf.DUMMYFUNCTION("""COMPUTED_VALUE"""),"SMK Negeri 6 Kendari")</f>
        <v>SMK Negeri 6 Kendari</v>
      </c>
      <c r="D249" s="9"/>
      <c r="E249" s="9"/>
      <c r="F249" s="9" t="str">
        <f>IFERROR(__xludf.DUMMYFUNCTION("""COMPUTED_VALUE"""),"Nina Syanti")</f>
        <v>Nina Syanti</v>
      </c>
      <c r="G249" s="9" t="str">
        <f>IFERROR(__xludf.DUMMYFUNCTION("""COMPUTED_VALUE"""),"7405074303080001")</f>
        <v>7405074303080001</v>
      </c>
      <c r="H249" s="9"/>
      <c r="I249" s="9"/>
      <c r="J249" s="10" t="str">
        <f>IFERROR(__xludf.DUMMYFUNCTION("""COMPUTED_VALUE"""),"PEREMPUAN")</f>
        <v>PEREMPUAN</v>
      </c>
      <c r="K249" s="9" t="str">
        <f>IFERROR(__xludf.DUMMYFUNCTION("""COMPUTED_VALUE"""),"Lambusa, Kec. Konda, Konawe Selatan")</f>
        <v>Lambusa, Kec. Konda, Konawe Selatan</v>
      </c>
      <c r="L249" s="9"/>
      <c r="M249" s="9"/>
      <c r="N249" s="8" t="s">
        <v>19</v>
      </c>
      <c r="O249" s="9"/>
      <c r="P249" s="9"/>
      <c r="Q249" s="9"/>
      <c r="R249" s="10" t="str">
        <f>IFERROR(__xludf.DUMMYFUNCTION("""COMPUTED_VALUE"""),"K")</f>
        <v>K</v>
      </c>
      <c r="S249" s="9"/>
    </row>
    <row r="250" ht="22.5" customHeight="1">
      <c r="A250" s="6">
        <v>249.0</v>
      </c>
      <c r="B250" s="9" t="str">
        <f>IFERROR(__xludf.DUMMYFUNCTION("""COMPUTED_VALUE"""),"Pemrograman Web")</f>
        <v>Pemrograman Web</v>
      </c>
      <c r="C250" s="9" t="str">
        <f>IFERROR(__xludf.DUMMYFUNCTION("""COMPUTED_VALUE"""),"SMK Negeri 6 Kendari")</f>
        <v>SMK Negeri 6 Kendari</v>
      </c>
      <c r="D250" s="9"/>
      <c r="E250" s="9"/>
      <c r="F250" s="9" t="str">
        <f>IFERROR(__xludf.DUMMYFUNCTION("""COMPUTED_VALUE"""),"Nurul Fahra")</f>
        <v>Nurul Fahra</v>
      </c>
      <c r="G250" s="9" t="str">
        <f>IFERROR(__xludf.DUMMYFUNCTION("""COMPUTED_VALUE"""),"7471035406080001")</f>
        <v>7471035406080001</v>
      </c>
      <c r="H250" s="9"/>
      <c r="I250" s="9"/>
      <c r="J250" s="10" t="str">
        <f>IFERROR(__xludf.DUMMYFUNCTION("""COMPUTED_VALUE"""),"PEREMPUAN")</f>
        <v>PEREMPUAN</v>
      </c>
      <c r="K250" s="9" t="str">
        <f>IFERROR(__xludf.DUMMYFUNCTION("""COMPUTED_VALUE"""),"Jl. Haji Lamuse")</f>
        <v>Jl. Haji Lamuse</v>
      </c>
      <c r="L250" s="9"/>
      <c r="M250" s="9"/>
      <c r="N250" s="8" t="s">
        <v>19</v>
      </c>
      <c r="O250" s="9"/>
      <c r="P250" s="9"/>
      <c r="Q250" s="9"/>
      <c r="R250" s="10" t="str">
        <f>IFERROR(__xludf.DUMMYFUNCTION("""COMPUTED_VALUE"""),"K")</f>
        <v>K</v>
      </c>
      <c r="S250" s="9"/>
    </row>
    <row r="251" ht="22.5" customHeight="1">
      <c r="A251" s="6">
        <v>250.0</v>
      </c>
      <c r="B251" s="9" t="str">
        <f>IFERROR(__xludf.DUMMYFUNCTION("""COMPUTED_VALUE"""),"Pemrograman Web")</f>
        <v>Pemrograman Web</v>
      </c>
      <c r="C251" s="9" t="str">
        <f>IFERROR(__xludf.DUMMYFUNCTION("""COMPUTED_VALUE"""),"SMK Negeri 6 Kendari")</f>
        <v>SMK Negeri 6 Kendari</v>
      </c>
      <c r="D251" s="9"/>
      <c r="E251" s="9"/>
      <c r="F251" s="9" t="str">
        <f>IFERROR(__xludf.DUMMYFUNCTION("""COMPUTED_VALUE"""),"Luthfi Aulia")</f>
        <v>Luthfi Aulia</v>
      </c>
      <c r="G251" s="9" t="str">
        <f>IFERROR(__xludf.DUMMYFUNCTION("""COMPUTED_VALUE"""),"7405074401090001")</f>
        <v>7405074401090001</v>
      </c>
      <c r="H251" s="9"/>
      <c r="I251" s="9"/>
      <c r="J251" s="10" t="str">
        <f>IFERROR(__xludf.DUMMYFUNCTION("""COMPUTED_VALUE"""),"PEREMPUAN")</f>
        <v>PEREMPUAN</v>
      </c>
      <c r="K251" s="9" t="str">
        <f>IFERROR(__xludf.DUMMYFUNCTION("""COMPUTED_VALUE"""),"Desa Lambusa, Kec. Konda, Kab. Konawe Selatan")</f>
        <v>Desa Lambusa, Kec. Konda, Kab. Konawe Selatan</v>
      </c>
      <c r="L251" s="9"/>
      <c r="M251" s="9"/>
      <c r="N251" s="8" t="s">
        <v>19</v>
      </c>
      <c r="O251" s="9"/>
      <c r="P251" s="9"/>
      <c r="Q251" s="9"/>
      <c r="R251" s="10" t="str">
        <f>IFERROR(__xludf.DUMMYFUNCTION("""COMPUTED_VALUE"""),"K")</f>
        <v>K</v>
      </c>
      <c r="S251" s="9"/>
    </row>
    <row r="252" ht="22.5" customHeight="1">
      <c r="A252" s="6">
        <v>251.0</v>
      </c>
      <c r="B252" s="9" t="str">
        <f>IFERROR(__xludf.DUMMYFUNCTION("""COMPUTED_VALUE"""),"Pemrograman Web")</f>
        <v>Pemrograman Web</v>
      </c>
      <c r="C252" s="9" t="str">
        <f>IFERROR(__xludf.DUMMYFUNCTION("""COMPUTED_VALUE"""),"SMK Negeri 6 Kendari")</f>
        <v>SMK Negeri 6 Kendari</v>
      </c>
      <c r="D252" s="9"/>
      <c r="E252" s="9"/>
      <c r="F252" s="9" t="str">
        <f>IFERROR(__xludf.DUMMYFUNCTION("""COMPUTED_VALUE"""),"Muh. Bilal Maulana")</f>
        <v>Muh. Bilal Maulana</v>
      </c>
      <c r="G252" s="9" t="str">
        <f>IFERROR(__xludf.DUMMYFUNCTION("""COMPUTED_VALUE"""),"7471031801090001")</f>
        <v>7471031801090001</v>
      </c>
      <c r="H252" s="9"/>
      <c r="I252" s="9"/>
      <c r="J252" s="10" t="str">
        <f>IFERROR(__xludf.DUMMYFUNCTION("""COMPUTED_VALUE"""),"LAKI-LAKI")</f>
        <v>LAKI-LAKI</v>
      </c>
      <c r="K252" s="9" t="str">
        <f>IFERROR(__xludf.DUMMYFUNCTION("""COMPUTED_VALUE"""),"Jl. Kampung Baru, Desa Puesu Jaya")</f>
        <v>Jl. Kampung Baru, Desa Puesu Jaya</v>
      </c>
      <c r="L252" s="9"/>
      <c r="M252" s="9"/>
      <c r="N252" s="8" t="s">
        <v>19</v>
      </c>
      <c r="O252" s="9"/>
      <c r="P252" s="9"/>
      <c r="Q252" s="9"/>
      <c r="R252" s="10" t="str">
        <f>IFERROR(__xludf.DUMMYFUNCTION("""COMPUTED_VALUE"""),"K")</f>
        <v>K</v>
      </c>
      <c r="S252" s="9"/>
    </row>
    <row r="253" ht="22.5" customHeight="1">
      <c r="A253" s="6">
        <v>252.0</v>
      </c>
      <c r="B253" s="9" t="str">
        <f>IFERROR(__xludf.DUMMYFUNCTION("""COMPUTED_VALUE"""),"Pemrograman Web")</f>
        <v>Pemrograman Web</v>
      </c>
      <c r="C253" s="9" t="str">
        <f>IFERROR(__xludf.DUMMYFUNCTION("""COMPUTED_VALUE"""),"SMK Negeri 6 Kendari")</f>
        <v>SMK Negeri 6 Kendari</v>
      </c>
      <c r="D253" s="9"/>
      <c r="E253" s="9"/>
      <c r="F253" s="9" t="str">
        <f>IFERROR(__xludf.DUMMYFUNCTION("""COMPUTED_VALUE"""),"Muh Adrian")</f>
        <v>Muh Adrian</v>
      </c>
      <c r="G253" s="9" t="str">
        <f>IFERROR(__xludf.DUMMYFUNCTION("""COMPUTED_VALUE"""),"7405082803080001")</f>
        <v>7405082803080001</v>
      </c>
      <c r="H253" s="9"/>
      <c r="I253" s="9"/>
      <c r="J253" s="10" t="str">
        <f>IFERROR(__xludf.DUMMYFUNCTION("""COMPUTED_VALUE"""),"LAKI-LAKI")</f>
        <v>LAKI-LAKI</v>
      </c>
      <c r="K253" s="9" t="str">
        <f>IFERROR(__xludf.DUMMYFUNCTION("""COMPUTED_VALUE"""),"Jln. Simbo, Lrg. Merdeka")</f>
        <v>Jln. Simbo, Lrg. Merdeka</v>
      </c>
      <c r="L253" s="9"/>
      <c r="M253" s="9"/>
      <c r="N253" s="8" t="s">
        <v>19</v>
      </c>
      <c r="O253" s="9"/>
      <c r="P253" s="9"/>
      <c r="Q253" s="9"/>
      <c r="R253" s="10" t="str">
        <f>IFERROR(__xludf.DUMMYFUNCTION("""COMPUTED_VALUE"""),"K")</f>
        <v>K</v>
      </c>
      <c r="S253" s="9"/>
    </row>
    <row r="254" ht="22.5" customHeight="1">
      <c r="A254" s="6">
        <v>253.0</v>
      </c>
      <c r="B254" s="9" t="str">
        <f>IFERROR(__xludf.DUMMYFUNCTION("""COMPUTED_VALUE"""),"Pemrograman Web")</f>
        <v>Pemrograman Web</v>
      </c>
      <c r="C254" s="9" t="str">
        <f>IFERROR(__xludf.DUMMYFUNCTION("""COMPUTED_VALUE"""),"SMK Negeri 6 Kendari")</f>
        <v>SMK Negeri 6 Kendari</v>
      </c>
      <c r="D254" s="9"/>
      <c r="E254" s="9"/>
      <c r="F254" s="9" t="str">
        <f>IFERROR(__xludf.DUMMYFUNCTION("""COMPUTED_VALUE"""),"Muh. Adrian Trijaya")</f>
        <v>Muh. Adrian Trijaya</v>
      </c>
      <c r="G254" s="9" t="str">
        <f>IFERROR(__xludf.DUMMYFUNCTION("""COMPUTED_VALUE"""),"7471100407090002")</f>
        <v>7471100407090002</v>
      </c>
      <c r="H254" s="9"/>
      <c r="I254" s="9"/>
      <c r="J254" s="10" t="str">
        <f>IFERROR(__xludf.DUMMYFUNCTION("""COMPUTED_VALUE"""),"LAKI-LAKI")</f>
        <v>LAKI-LAKI</v>
      </c>
      <c r="K254" s="9" t="str">
        <f>IFERROR(__xludf.DUMMYFUNCTION("""COMPUTED_VALUE"""),"BTN Graha Reksa Kencana, Tahap 6, Blok C8")</f>
        <v>BTN Graha Reksa Kencana, Tahap 6, Blok C8</v>
      </c>
      <c r="L254" s="9"/>
      <c r="M254" s="9"/>
      <c r="N254" s="8" t="s">
        <v>19</v>
      </c>
      <c r="O254" s="9"/>
      <c r="P254" s="9"/>
      <c r="Q254" s="9"/>
      <c r="R254" s="10" t="str">
        <f>IFERROR(__xludf.DUMMYFUNCTION("""COMPUTED_VALUE"""),"K")</f>
        <v>K</v>
      </c>
      <c r="S254" s="9"/>
    </row>
    <row r="255" ht="22.5" customHeight="1">
      <c r="A255" s="6">
        <v>254.0</v>
      </c>
      <c r="B255" s="9" t="str">
        <f>IFERROR(__xludf.DUMMYFUNCTION("""COMPUTED_VALUE"""),"Pemrograman Web")</f>
        <v>Pemrograman Web</v>
      </c>
      <c r="C255" s="9" t="str">
        <f>IFERROR(__xludf.DUMMYFUNCTION("""COMPUTED_VALUE"""),"SMK Negeri 6 Kendari")</f>
        <v>SMK Negeri 6 Kendari</v>
      </c>
      <c r="D255" s="9"/>
      <c r="E255" s="9"/>
      <c r="F255" s="9" t="str">
        <f>IFERROR(__xludf.DUMMYFUNCTION("""COMPUTED_VALUE"""),"Muh. Bintang Al-Misbah")</f>
        <v>Muh. Bintang Al-Misbah</v>
      </c>
      <c r="G255" s="9" t="str">
        <f>IFERROR(__xludf.DUMMYFUNCTION("""COMPUTED_VALUE"""),"7471030508070001")</f>
        <v>7471030508070001</v>
      </c>
      <c r="H255" s="9"/>
      <c r="I255" s="9"/>
      <c r="J255" s="10" t="str">
        <f>IFERROR(__xludf.DUMMYFUNCTION("""COMPUTED_VALUE"""),"LAKI-LAKI")</f>
        <v>LAKI-LAKI</v>
      </c>
      <c r="K255" s="9" t="str">
        <f>IFERROR(__xludf.DUMMYFUNCTION("""COMPUTED_VALUE"""),"Jl. H. Lamuse, RT/RW 003/002, Kel. Lepo-lepo, Kec. Baruga")</f>
        <v>Jl. H. Lamuse, RT/RW 003/002, Kel. Lepo-lepo, Kec. Baruga</v>
      </c>
      <c r="L255" s="9"/>
      <c r="M255" s="9"/>
      <c r="N255" s="8" t="s">
        <v>19</v>
      </c>
      <c r="O255" s="9"/>
      <c r="P255" s="9"/>
      <c r="Q255" s="9"/>
      <c r="R255" s="10" t="str">
        <f>IFERROR(__xludf.DUMMYFUNCTION("""COMPUTED_VALUE"""),"K")</f>
        <v>K</v>
      </c>
      <c r="S255" s="9"/>
    </row>
    <row r="256" ht="22.5" customHeight="1">
      <c r="A256" s="6">
        <v>255.0</v>
      </c>
      <c r="B256" s="9" t="str">
        <f>IFERROR(__xludf.DUMMYFUNCTION("""COMPUTED_VALUE"""),"Pemrograman Web")</f>
        <v>Pemrograman Web</v>
      </c>
      <c r="C256" s="9" t="str">
        <f>IFERROR(__xludf.DUMMYFUNCTION("""COMPUTED_VALUE"""),"SMK Negeri 6 Kendari")</f>
        <v>SMK Negeri 6 Kendari</v>
      </c>
      <c r="D256" s="9"/>
      <c r="E256" s="9"/>
      <c r="F256" s="9" t="str">
        <f>IFERROR(__xludf.DUMMYFUNCTION("""COMPUTED_VALUE"""),"Muhammad Nur Hakim AM")</f>
        <v>Muhammad Nur Hakim AM</v>
      </c>
      <c r="G256" s="9" t="str">
        <f>IFERROR(__xludf.DUMMYFUNCTION("""COMPUTED_VALUE"""),"7471031205080001")</f>
        <v>7471031205080001</v>
      </c>
      <c r="H256" s="9"/>
      <c r="I256" s="9"/>
      <c r="J256" s="10" t="str">
        <f>IFERROR(__xludf.DUMMYFUNCTION("""COMPUTED_VALUE"""),"LAKI-LAKI")</f>
        <v>LAKI-LAKI</v>
      </c>
      <c r="K256" s="9" t="str">
        <f>IFERROR(__xludf.DUMMYFUNCTION("""COMPUTED_VALUE"""),"Btn Latjinta II Blok A4 No. 18, Kel. Baruga")</f>
        <v>Btn Latjinta II Blok A4 No. 18, Kel. Baruga</v>
      </c>
      <c r="L256" s="9"/>
      <c r="M256" s="9"/>
      <c r="N256" s="8" t="s">
        <v>19</v>
      </c>
      <c r="O256" s="9"/>
      <c r="P256" s="9"/>
      <c r="Q256" s="9"/>
      <c r="R256" s="10" t="str">
        <f>IFERROR(__xludf.DUMMYFUNCTION("""COMPUTED_VALUE"""),"K")</f>
        <v>K</v>
      </c>
      <c r="S256" s="9"/>
    </row>
    <row r="257" ht="22.5" customHeight="1">
      <c r="A257" s="6">
        <v>256.0</v>
      </c>
      <c r="B257" s="9" t="str">
        <f>IFERROR(__xludf.DUMMYFUNCTION("""COMPUTED_VALUE"""),"Pemrograman Web")</f>
        <v>Pemrograman Web</v>
      </c>
      <c r="C257" s="9" t="str">
        <f>IFERROR(__xludf.DUMMYFUNCTION("""COMPUTED_VALUE"""),"SMK Negeri 6 Kendari")</f>
        <v>SMK Negeri 6 Kendari</v>
      </c>
      <c r="D257" s="9"/>
      <c r="E257" s="9"/>
      <c r="F257" s="9" t="str">
        <f>IFERROR(__xludf.DUMMYFUNCTION("""COMPUTED_VALUE"""),"Mochammad Akbar Fajri Rovi Astono")</f>
        <v>Mochammad Akbar Fajri Rovi Astono</v>
      </c>
      <c r="G257" s="9" t="str">
        <f>IFERROR(__xludf.DUMMYFUNCTION("""COMPUTED_VALUE"""),"3578271602080002")</f>
        <v>3578271602080002</v>
      </c>
      <c r="H257" s="9"/>
      <c r="I257" s="9"/>
      <c r="J257" s="10" t="str">
        <f>IFERROR(__xludf.DUMMYFUNCTION("""COMPUTED_VALUE"""),"LAKI-LAKI")</f>
        <v>LAKI-LAKI</v>
      </c>
      <c r="K257" s="9" t="str">
        <f>IFERROR(__xludf.DUMMYFUNCTION("""COMPUTED_VALUE"""),"Jl. poros Bandara Haluoleo, BTN Sugeng Rawuh Griya Ranomeeto")</f>
        <v>Jl. poros Bandara Haluoleo, BTN Sugeng Rawuh Griya Ranomeeto</v>
      </c>
      <c r="L257" s="9"/>
      <c r="M257" s="9"/>
      <c r="N257" s="8" t="s">
        <v>19</v>
      </c>
      <c r="O257" s="9"/>
      <c r="P257" s="9"/>
      <c r="Q257" s="9"/>
      <c r="R257" s="10" t="str">
        <f>IFERROR(__xludf.DUMMYFUNCTION("""COMPUTED_VALUE"""),"K")</f>
        <v>K</v>
      </c>
      <c r="S257" s="9"/>
    </row>
    <row r="258" ht="22.5" customHeight="1">
      <c r="A258" s="6">
        <v>257.0</v>
      </c>
      <c r="B258" s="9" t="str">
        <f>IFERROR(__xludf.DUMMYFUNCTION("""COMPUTED_VALUE"""),"Pemrograman Web")</f>
        <v>Pemrograman Web</v>
      </c>
      <c r="C258" s="9" t="str">
        <f>IFERROR(__xludf.DUMMYFUNCTION("""COMPUTED_VALUE"""),"SMK Negeri 6 Kendari")</f>
        <v>SMK Negeri 6 Kendari</v>
      </c>
      <c r="D258" s="9"/>
      <c r="E258" s="9"/>
      <c r="F258" s="9" t="str">
        <f>IFERROR(__xludf.DUMMYFUNCTION("""COMPUTED_VALUE"""),"Ifdhal Saputra")</f>
        <v>Ifdhal Saputra</v>
      </c>
      <c r="G258" s="9" t="str">
        <f>IFERROR(__xludf.DUMMYFUNCTION("""COMPUTED_VALUE"""),"7405040409070001")</f>
        <v>7405040409070001</v>
      </c>
      <c r="H258" s="9"/>
      <c r="I258" s="9"/>
      <c r="J258" s="10" t="str">
        <f>IFERROR(__xludf.DUMMYFUNCTION("""COMPUTED_VALUE"""),"LAKI-LAKI")</f>
        <v>LAKI-LAKI</v>
      </c>
      <c r="K258" s="9" t="str">
        <f>IFERROR(__xludf.DUMMYFUNCTION("""COMPUTED_VALUE"""),"Jl. Brigjen Katamso, BTN Reksadewa")</f>
        <v>Jl. Brigjen Katamso, BTN Reksadewa</v>
      </c>
      <c r="L258" s="9"/>
      <c r="M258" s="9"/>
      <c r="N258" s="8" t="s">
        <v>19</v>
      </c>
      <c r="O258" s="9"/>
      <c r="P258" s="9"/>
      <c r="Q258" s="9"/>
      <c r="R258" s="10" t="str">
        <f>IFERROR(__xludf.DUMMYFUNCTION("""COMPUTED_VALUE"""),"K")</f>
        <v>K</v>
      </c>
      <c r="S258" s="9"/>
    </row>
    <row r="259" ht="22.5" customHeight="1">
      <c r="A259" s="6">
        <v>258.0</v>
      </c>
      <c r="B259" s="9" t="str">
        <f>IFERROR(__xludf.DUMMYFUNCTION("""COMPUTED_VALUE"""),"Pemrograman Web")</f>
        <v>Pemrograman Web</v>
      </c>
      <c r="C259" s="9" t="str">
        <f>IFERROR(__xludf.DUMMYFUNCTION("""COMPUTED_VALUE"""),"SMK Negeri 6 Kendari")</f>
        <v>SMK Negeri 6 Kendari</v>
      </c>
      <c r="D259" s="9"/>
      <c r="E259" s="9"/>
      <c r="F259" s="9" t="str">
        <f>IFERROR(__xludf.DUMMYFUNCTION("""COMPUTED_VALUE"""),"Marhan Nutzul Ramadhan")</f>
        <v>Marhan Nutzul Ramadhan</v>
      </c>
      <c r="G259" s="9" t="str">
        <f>IFERROR(__xludf.DUMMYFUNCTION("""COMPUTED_VALUE"""),"7471031709080001")</f>
        <v>7471031709080001</v>
      </c>
      <c r="H259" s="9"/>
      <c r="I259" s="9"/>
      <c r="J259" s="10" t="str">
        <f>IFERROR(__xludf.DUMMYFUNCTION("""COMPUTED_VALUE"""),"LAKI-LAKI")</f>
        <v>LAKI-LAKI</v>
      </c>
      <c r="K259" s="9" t="str">
        <f>IFERROR(__xludf.DUMMYFUNCTION("""COMPUTED_VALUE"""),"Jl. Satya Brata, No. 6, Kendari")</f>
        <v>Jl. Satya Brata, No. 6, Kendari</v>
      </c>
      <c r="L259" s="9"/>
      <c r="M259" s="9"/>
      <c r="N259" s="8" t="s">
        <v>19</v>
      </c>
      <c r="O259" s="9"/>
      <c r="P259" s="9"/>
      <c r="Q259" s="9"/>
      <c r="R259" s="10" t="str">
        <f>IFERROR(__xludf.DUMMYFUNCTION("""COMPUTED_VALUE"""),"K")</f>
        <v>K</v>
      </c>
      <c r="S259" s="9"/>
    </row>
    <row r="260" ht="22.5" customHeight="1">
      <c r="A260" s="6">
        <v>259.0</v>
      </c>
      <c r="B260" s="9" t="str">
        <f>IFERROR(__xludf.DUMMYFUNCTION("""COMPUTED_VALUE"""),"Pemrograman Web")</f>
        <v>Pemrograman Web</v>
      </c>
      <c r="C260" s="9" t="str">
        <f>IFERROR(__xludf.DUMMYFUNCTION("""COMPUTED_VALUE"""),"SMK Negeri 6 Kendari")</f>
        <v>SMK Negeri 6 Kendari</v>
      </c>
      <c r="D260" s="9"/>
      <c r="E260" s="9"/>
      <c r="F260" s="9" t="str">
        <f>IFERROR(__xludf.DUMMYFUNCTION("""COMPUTED_VALUE"""),"Kadek Ari Santi Marheni")</f>
        <v>Kadek Ari Santi Marheni</v>
      </c>
      <c r="G260" s="9" t="str">
        <f>IFERROR(__xludf.DUMMYFUNCTION("""COMPUTED_VALUE"""),"7406164210080001")</f>
        <v>7406164210080001</v>
      </c>
      <c r="H260" s="9"/>
      <c r="I260" s="9"/>
      <c r="J260" s="10" t="str">
        <f>IFERROR(__xludf.DUMMYFUNCTION("""COMPUTED_VALUE"""),"PEREMPUAN")</f>
        <v>PEREMPUAN</v>
      </c>
      <c r="K260" s="9" t="str">
        <f>IFERROR(__xludf.DUMMYFUNCTION("""COMPUTED_VALUE"""),"Desa Puosu Jaya, Jl. Brigjen Katamso")</f>
        <v>Desa Puosu Jaya, Jl. Brigjen Katamso</v>
      </c>
      <c r="L260" s="9"/>
      <c r="M260" s="9"/>
      <c r="N260" s="8" t="s">
        <v>19</v>
      </c>
      <c r="O260" s="9"/>
      <c r="P260" s="9"/>
      <c r="Q260" s="9"/>
      <c r="R260" s="10" t="str">
        <f>IFERROR(__xludf.DUMMYFUNCTION("""COMPUTED_VALUE"""),"K")</f>
        <v>K</v>
      </c>
      <c r="S260" s="9"/>
    </row>
    <row r="261" ht="22.5" customHeight="1">
      <c r="A261" s="6">
        <v>260.0</v>
      </c>
      <c r="B261" s="9" t="str">
        <f>IFERROR(__xludf.DUMMYFUNCTION("""COMPUTED_VALUE"""),"Pemrograman Web")</f>
        <v>Pemrograman Web</v>
      </c>
      <c r="C261" s="9" t="str">
        <f>IFERROR(__xludf.DUMMYFUNCTION("""COMPUTED_VALUE"""),"SMK Negeri 6 Kendari")</f>
        <v>SMK Negeri 6 Kendari</v>
      </c>
      <c r="D261" s="9"/>
      <c r="E261" s="9"/>
      <c r="F261" s="11" t="str">
        <f>IFERROR(__xludf.DUMMYFUNCTION("""COMPUTED_VALUE"""),"Humairah")</f>
        <v>Humairah</v>
      </c>
      <c r="G261" s="9" t="str">
        <f>IFERROR(__xludf.DUMMYFUNCTION("""COMPUTED_VALUE"""),"7471106705890003")</f>
        <v>7471106705890003</v>
      </c>
      <c r="H261" s="9"/>
      <c r="I261" s="9"/>
      <c r="J261" s="10" t="str">
        <f>IFERROR(__xludf.DUMMYFUNCTION("""COMPUTED_VALUE"""),"PEREMPUAN")</f>
        <v>PEREMPUAN</v>
      </c>
      <c r="K261" s="9" t="str">
        <f>IFERROR(__xludf.DUMMYFUNCTION("""COMPUTED_VALUE"""),"Jl. Prof. Dr. Abd. Rauf Tarimana")</f>
        <v>Jl. Prof. Dr. Abd. Rauf Tarimana</v>
      </c>
      <c r="L261" s="9"/>
      <c r="M261" s="9"/>
      <c r="N261" s="8" t="s">
        <v>19</v>
      </c>
      <c r="O261" s="9"/>
      <c r="P261" s="9"/>
      <c r="Q261" s="9"/>
      <c r="R261" s="10" t="str">
        <f>IFERROR(__xludf.DUMMYFUNCTION("""COMPUTED_VALUE"""),"K")</f>
        <v>K</v>
      </c>
      <c r="S261" s="9"/>
    </row>
    <row r="262" ht="22.5" customHeight="1">
      <c r="A262" s="6">
        <v>261.0</v>
      </c>
      <c r="B262" s="9" t="str">
        <f>IFERROR(__xludf.DUMMYFUNCTION("""COMPUTED_VALUE"""),"Pemrograman Web")</f>
        <v>Pemrograman Web</v>
      </c>
      <c r="C262" s="9" t="str">
        <f>IFERROR(__xludf.DUMMYFUNCTION("""COMPUTED_VALUE"""),"SMK Negeri 6 Kendari")</f>
        <v>SMK Negeri 6 Kendari</v>
      </c>
      <c r="D262" s="9"/>
      <c r="E262" s="9"/>
      <c r="F262" s="9" t="str">
        <f>IFERROR(__xludf.DUMMYFUNCTION("""COMPUTED_VALUE"""),"Lita Lusiyanti")</f>
        <v>Lita Lusiyanti</v>
      </c>
      <c r="G262" s="9">
        <f>IFERROR(__xludf.DUMMYFUNCTION("""COMPUTED_VALUE"""),7.4051107030004E13)</f>
        <v>74051107030004</v>
      </c>
      <c r="H262" s="9"/>
      <c r="I262" s="9"/>
      <c r="J262" s="10" t="str">
        <f>IFERROR(__xludf.DUMMYFUNCTION("""COMPUTED_VALUE"""),"LAKI-LAKI")</f>
        <v>LAKI-LAKI</v>
      </c>
      <c r="K262" s="9" t="str">
        <f>IFERROR(__xludf.DUMMYFUNCTION("""COMPUTED_VALUE"""),"Jl. Eueuhi, BTN Wonua Morini Blok D No.2")</f>
        <v>Jl. Eueuhi, BTN Wonua Morini Blok D No.2</v>
      </c>
      <c r="L262" s="9"/>
      <c r="M262" s="9"/>
      <c r="N262" s="8" t="s">
        <v>19</v>
      </c>
      <c r="O262" s="9"/>
      <c r="P262" s="9"/>
      <c r="Q262" s="9"/>
      <c r="R262" s="10" t="str">
        <f>IFERROR(__xludf.DUMMYFUNCTION("""COMPUTED_VALUE"""),"K")</f>
        <v>K</v>
      </c>
      <c r="S262" s="9"/>
    </row>
    <row r="263" ht="22.5" customHeight="1">
      <c r="A263" s="6">
        <v>262.0</v>
      </c>
      <c r="B263" s="9" t="str">
        <f>IFERROR(__xludf.DUMMYFUNCTION("""COMPUTED_VALUE"""),"Desainer Grafis Muda")</f>
        <v>Desainer Grafis Muda</v>
      </c>
      <c r="C263" s="9" t="str">
        <f>IFERROR(__xludf.DUMMYFUNCTION("""COMPUTED_VALUE"""),"SMK Negeri 6 Kendari")</f>
        <v>SMK Negeri 6 Kendari</v>
      </c>
      <c r="D263" s="9"/>
      <c r="E263" s="9"/>
      <c r="F263" s="9" t="str">
        <f>IFERROR(__xludf.DUMMYFUNCTION("""COMPUTED_VALUE"""),"Putri Adilasari")</f>
        <v>Putri Adilasari</v>
      </c>
      <c r="G263" s="9" t="str">
        <f>IFERROR(__xludf.DUMMYFUNCTION("""COMPUTED_VALUE"""),"7408026304080001")</f>
        <v>7408026304080001</v>
      </c>
      <c r="H263" s="9"/>
      <c r="I263" s="9"/>
      <c r="J263" s="10" t="str">
        <f>IFERROR(__xludf.DUMMYFUNCTION("""COMPUTED_VALUE"""),"PEREMPUAN")</f>
        <v>PEREMPUAN</v>
      </c>
      <c r="K263" s="9" t="str">
        <f>IFERROR(__xludf.DUMMYFUNCTION("""COMPUTED_VALUE"""),"Kelurahan Lepo-lepo")</f>
        <v>Kelurahan Lepo-lepo</v>
      </c>
      <c r="L263" s="9"/>
      <c r="M263" s="9"/>
      <c r="N263" s="8" t="s">
        <v>19</v>
      </c>
      <c r="O263" s="9"/>
      <c r="P263" s="9"/>
      <c r="Q263" s="9"/>
      <c r="R263" s="10" t="str">
        <f>IFERROR(__xludf.DUMMYFUNCTION("""COMPUTED_VALUE"""),"K")</f>
        <v>K</v>
      </c>
      <c r="S263" s="9"/>
    </row>
    <row r="264" ht="22.5" customHeight="1">
      <c r="A264" s="6">
        <v>263.0</v>
      </c>
      <c r="B264" s="9" t="str">
        <f>IFERROR(__xludf.DUMMYFUNCTION("""COMPUTED_VALUE"""),"Desainer Grafis Muda")</f>
        <v>Desainer Grafis Muda</v>
      </c>
      <c r="C264" s="9" t="str">
        <f>IFERROR(__xludf.DUMMYFUNCTION("""COMPUTED_VALUE"""),"SMK Negeri 6 Kendari")</f>
        <v>SMK Negeri 6 Kendari</v>
      </c>
      <c r="D264" s="9"/>
      <c r="E264" s="9"/>
      <c r="F264" s="9" t="str">
        <f>IFERROR(__xludf.DUMMYFUNCTION("""COMPUTED_VALUE"""),"Febriana Anastasya Cahaya")</f>
        <v>Febriana Anastasya Cahaya</v>
      </c>
      <c r="G264" s="9" t="str">
        <f>IFERROR(__xludf.DUMMYFUNCTION("""COMPUTED_VALUE"""),"7471036002080004")</f>
        <v>7471036002080004</v>
      </c>
      <c r="H264" s="9"/>
      <c r="I264" s="9"/>
      <c r="J264" s="10" t="str">
        <f>IFERROR(__xludf.DUMMYFUNCTION("""COMPUTED_VALUE"""),"PEREMPUAN")</f>
        <v>PEREMPUAN</v>
      </c>
      <c r="K264" s="9" t="str">
        <f>IFERROR(__xludf.DUMMYFUNCTION("""COMPUTED_VALUE"""),"Jl. H. Lamuse No. 9/Kantor Lurah Lepo-lepo")</f>
        <v>Jl. H. Lamuse No. 9/Kantor Lurah Lepo-lepo</v>
      </c>
      <c r="L264" s="9"/>
      <c r="M264" s="9"/>
      <c r="N264" s="8" t="s">
        <v>19</v>
      </c>
      <c r="O264" s="9"/>
      <c r="P264" s="9"/>
      <c r="Q264" s="9"/>
      <c r="R264" s="10" t="str">
        <f>IFERROR(__xludf.DUMMYFUNCTION("""COMPUTED_VALUE"""),"K")</f>
        <v>K</v>
      </c>
      <c r="S264" s="9"/>
    </row>
    <row r="265" ht="22.5" customHeight="1">
      <c r="A265" s="6">
        <v>264.0</v>
      </c>
      <c r="B265" s="9" t="str">
        <f>IFERROR(__xludf.DUMMYFUNCTION("""COMPUTED_VALUE"""),"Desainer Grafis Muda")</f>
        <v>Desainer Grafis Muda</v>
      </c>
      <c r="C265" s="9" t="str">
        <f>IFERROR(__xludf.DUMMYFUNCTION("""COMPUTED_VALUE"""),"SMK Negeri 6 Kendari")</f>
        <v>SMK Negeri 6 Kendari</v>
      </c>
      <c r="D265" s="9"/>
      <c r="E265" s="9"/>
      <c r="F265" s="9" t="str">
        <f>IFERROR(__xludf.DUMMYFUNCTION("""COMPUTED_VALUE"""),"Haikal Hermawan Saputra")</f>
        <v>Haikal Hermawan Saputra</v>
      </c>
      <c r="G265" s="9" t="str">
        <f>IFERROR(__xludf.DUMMYFUNCTION("""COMPUTED_VALUE"""),"7471071302080003")</f>
        <v>7471071302080003</v>
      </c>
      <c r="H265" s="9"/>
      <c r="I265" s="9"/>
      <c r="J265" s="10" t="str">
        <f>IFERROR(__xludf.DUMMYFUNCTION("""COMPUTED_VALUE"""),"LAKI-LAKI")</f>
        <v>LAKI-LAKI</v>
      </c>
      <c r="K265" s="9" t="str">
        <f>IFERROR(__xludf.DUMMYFUNCTION("""COMPUTED_VALUE"""),"Jl. Chairil Anwar No. 436")</f>
        <v>Jl. Chairil Anwar No. 436</v>
      </c>
      <c r="L265" s="9"/>
      <c r="M265" s="9"/>
      <c r="N265" s="8" t="s">
        <v>19</v>
      </c>
      <c r="O265" s="9"/>
      <c r="P265" s="9"/>
      <c r="Q265" s="9"/>
      <c r="R265" s="10" t="str">
        <f>IFERROR(__xludf.DUMMYFUNCTION("""COMPUTED_VALUE"""),"K")</f>
        <v>K</v>
      </c>
      <c r="S265" s="9"/>
    </row>
    <row r="266" ht="22.5" customHeight="1">
      <c r="A266" s="6">
        <v>265.0</v>
      </c>
      <c r="B266" s="9" t="str">
        <f>IFERROR(__xludf.DUMMYFUNCTION("""COMPUTED_VALUE"""),"Desainer Grafis Muda")</f>
        <v>Desainer Grafis Muda</v>
      </c>
      <c r="C266" s="9" t="str">
        <f>IFERROR(__xludf.DUMMYFUNCTION("""COMPUTED_VALUE"""),"SMK Negeri 6 Kendari")</f>
        <v>SMK Negeri 6 Kendari</v>
      </c>
      <c r="D266" s="9"/>
      <c r="E266" s="9"/>
      <c r="F266" s="9" t="str">
        <f>IFERROR(__xludf.DUMMYFUNCTION("""COMPUTED_VALUE"""),"Darwin")</f>
        <v>Darwin</v>
      </c>
      <c r="G266" s="9" t="str">
        <f>IFERROR(__xludf.DUMMYFUNCTION("""COMPUTED_VALUE"""),"7471030611080001")</f>
        <v>7471030611080001</v>
      </c>
      <c r="H266" s="9"/>
      <c r="I266" s="9"/>
      <c r="J266" s="10" t="str">
        <f>IFERROR(__xludf.DUMMYFUNCTION("""COMPUTED_VALUE"""),"LAKI-LAKI")</f>
        <v>LAKI-LAKI</v>
      </c>
      <c r="K266" s="9" t="str">
        <f>IFERROR(__xludf.DUMMYFUNCTION("""COMPUTED_VALUE"""),"Jl. Amohalo, Kel. Baruga, Kec. Baruga")</f>
        <v>Jl. Amohalo, Kel. Baruga, Kec. Baruga</v>
      </c>
      <c r="L266" s="9"/>
      <c r="M266" s="9"/>
      <c r="N266" s="8" t="s">
        <v>19</v>
      </c>
      <c r="O266" s="9"/>
      <c r="P266" s="9"/>
      <c r="Q266" s="9"/>
      <c r="R266" s="10" t="str">
        <f>IFERROR(__xludf.DUMMYFUNCTION("""COMPUTED_VALUE"""),"K")</f>
        <v>K</v>
      </c>
      <c r="S266" s="9"/>
    </row>
    <row r="267" ht="22.5" customHeight="1">
      <c r="A267" s="6">
        <v>266.0</v>
      </c>
      <c r="B267" s="9" t="str">
        <f>IFERROR(__xludf.DUMMYFUNCTION("""COMPUTED_VALUE"""),"Desainer Grafis Muda")</f>
        <v>Desainer Grafis Muda</v>
      </c>
      <c r="C267" s="9" t="str">
        <f>IFERROR(__xludf.DUMMYFUNCTION("""COMPUTED_VALUE"""),"SMK Negeri 6 Kendari")</f>
        <v>SMK Negeri 6 Kendari</v>
      </c>
      <c r="D267" s="9"/>
      <c r="E267" s="9"/>
      <c r="F267" s="9" t="str">
        <f>IFERROR(__xludf.DUMMYFUNCTION("""COMPUTED_VALUE"""),"Andi Muh. Aldi Ramadhan W.")</f>
        <v>Andi Muh. Aldi Ramadhan W.</v>
      </c>
      <c r="G267" s="9" t="str">
        <f>IFERROR(__xludf.DUMMYFUNCTION("""COMPUTED_VALUE"""),"7471051509080001")</f>
        <v>7471051509080001</v>
      </c>
      <c r="H267" s="9"/>
      <c r="I267" s="9"/>
      <c r="J267" s="10" t="str">
        <f>IFERROR(__xludf.DUMMYFUNCTION("""COMPUTED_VALUE"""),"LAKI-LAKI")</f>
        <v>LAKI-LAKI</v>
      </c>
      <c r="K267" s="9" t="str">
        <f>IFERROR(__xludf.DUMMYFUNCTION("""COMPUTED_VALUE"""),"Jl. Kijang Anduonohu")</f>
        <v>Jl. Kijang Anduonohu</v>
      </c>
      <c r="L267" s="9"/>
      <c r="M267" s="9"/>
      <c r="N267" s="8" t="s">
        <v>19</v>
      </c>
      <c r="O267" s="9"/>
      <c r="P267" s="9"/>
      <c r="Q267" s="9"/>
      <c r="R267" s="10" t="str">
        <f>IFERROR(__xludf.DUMMYFUNCTION("""COMPUTED_VALUE"""),"K")</f>
        <v>K</v>
      </c>
      <c r="S267" s="9"/>
    </row>
    <row r="268" ht="22.5" customHeight="1">
      <c r="A268" s="6">
        <v>267.0</v>
      </c>
      <c r="B268" s="9" t="str">
        <f>IFERROR(__xludf.DUMMYFUNCTION("""COMPUTED_VALUE"""),"Desainer Grafis Muda")</f>
        <v>Desainer Grafis Muda</v>
      </c>
      <c r="C268" s="9" t="str">
        <f>IFERROR(__xludf.DUMMYFUNCTION("""COMPUTED_VALUE"""),"SMK Negeri 6 Kendari")</f>
        <v>SMK Negeri 6 Kendari</v>
      </c>
      <c r="D268" s="9"/>
      <c r="E268" s="9"/>
      <c r="F268" s="9" t="str">
        <f>IFERROR(__xludf.DUMMYFUNCTION("""COMPUTED_VALUE"""),"M Fadhil Saputra")</f>
        <v>M Fadhil Saputra</v>
      </c>
      <c r="G268" s="9" t="str">
        <f>IFERROR(__xludf.DUMMYFUNCTION("""COMPUTED_VALUE"""),"7471032907060001")</f>
        <v>7471032907060001</v>
      </c>
      <c r="H268" s="9"/>
      <c r="I268" s="9"/>
      <c r="J268" s="10" t="str">
        <f>IFERROR(__xludf.DUMMYFUNCTION("""COMPUTED_VALUE"""),"LAKI-LAKI")</f>
        <v>LAKI-LAKI</v>
      </c>
      <c r="K268" s="9" t="str">
        <f>IFERROR(__xludf.DUMMYFUNCTION("""COMPUTED_VALUE"""),"BTN Latjinta 2 B8 No 6 Baruga")</f>
        <v>BTN Latjinta 2 B8 No 6 Baruga</v>
      </c>
      <c r="L268" s="9"/>
      <c r="M268" s="9"/>
      <c r="N268" s="8" t="s">
        <v>19</v>
      </c>
      <c r="O268" s="9"/>
      <c r="P268" s="9"/>
      <c r="Q268" s="9"/>
      <c r="R268" s="10" t="str">
        <f>IFERROR(__xludf.DUMMYFUNCTION("""COMPUTED_VALUE"""),"K")</f>
        <v>K</v>
      </c>
      <c r="S268" s="9"/>
    </row>
    <row r="269" ht="22.5" customHeight="1">
      <c r="A269" s="6">
        <v>268.0</v>
      </c>
      <c r="B269" s="9" t="str">
        <f>IFERROR(__xludf.DUMMYFUNCTION("""COMPUTED_VALUE"""),"Desainer Grafis Muda")</f>
        <v>Desainer Grafis Muda</v>
      </c>
      <c r="C269" s="9" t="str">
        <f>IFERROR(__xludf.DUMMYFUNCTION("""COMPUTED_VALUE"""),"SMK Negeri 6 Kendari")</f>
        <v>SMK Negeri 6 Kendari</v>
      </c>
      <c r="D269" s="9"/>
      <c r="E269" s="9"/>
      <c r="F269" s="9" t="str">
        <f>IFERROR(__xludf.DUMMYFUNCTION("""COMPUTED_VALUE"""),"M. Anugrah R")</f>
        <v>M. Anugrah R</v>
      </c>
      <c r="G269" s="9" t="str">
        <f>IFERROR(__xludf.DUMMYFUNCTION("""COMPUTED_VALUE"""),"7471032110080002")</f>
        <v>7471032110080002</v>
      </c>
      <c r="H269" s="9"/>
      <c r="I269" s="9"/>
      <c r="J269" s="10" t="str">
        <f>IFERROR(__xludf.DUMMYFUNCTION("""COMPUTED_VALUE"""),"LAKI-LAKI")</f>
        <v>LAKI-LAKI</v>
      </c>
      <c r="K269" s="9" t="str">
        <f>IFERROR(__xludf.DUMMYFUNCTION("""COMPUTED_VALUE"""),"Jl. Simbo")</f>
        <v>Jl. Simbo</v>
      </c>
      <c r="L269" s="9"/>
      <c r="M269" s="9"/>
      <c r="N269" s="8" t="s">
        <v>19</v>
      </c>
      <c r="O269" s="9"/>
      <c r="P269" s="9"/>
      <c r="Q269" s="9"/>
      <c r="R269" s="10" t="str">
        <f>IFERROR(__xludf.DUMMYFUNCTION("""COMPUTED_VALUE"""),"K")</f>
        <v>K</v>
      </c>
      <c r="S269" s="9"/>
    </row>
    <row r="270" ht="22.5" customHeight="1">
      <c r="A270" s="6">
        <v>269.0</v>
      </c>
      <c r="B270" s="9" t="str">
        <f>IFERROR(__xludf.DUMMYFUNCTION("""COMPUTED_VALUE"""),"Desainer Grafis Muda")</f>
        <v>Desainer Grafis Muda</v>
      </c>
      <c r="C270" s="9" t="str">
        <f>IFERROR(__xludf.DUMMYFUNCTION("""COMPUTED_VALUE"""),"SMK Negeri 6 Kendari")</f>
        <v>SMK Negeri 6 Kendari</v>
      </c>
      <c r="D270" s="9"/>
      <c r="E270" s="9"/>
      <c r="F270" s="9" t="str">
        <f>IFERROR(__xludf.DUMMYFUNCTION("""COMPUTED_VALUE"""),"Andi Alfian Ramadhan ayfhar")</f>
        <v>Andi Alfian Ramadhan ayfhar</v>
      </c>
      <c r="G270" s="12" t="str">
        <f>IFERROR(__xludf.DUMMYFUNCTION("""COMPUTED_VALUE"""),"7471031409080001")</f>
        <v>7471031409080001</v>
      </c>
      <c r="H270" s="9"/>
      <c r="I270" s="9"/>
      <c r="J270" s="10" t="str">
        <f>IFERROR(__xludf.DUMMYFUNCTION("""COMPUTED_VALUE"""),"LAKI-LAKI")</f>
        <v>LAKI-LAKI</v>
      </c>
      <c r="K270" s="9" t="str">
        <f>IFERROR(__xludf.DUMMYFUNCTION("""COMPUTED_VALUE"""),"BTN Bumi Wangggu Permai Blok C No 8")</f>
        <v>BTN Bumi Wangggu Permai Blok C No 8</v>
      </c>
      <c r="L270" s="9"/>
      <c r="M270" s="9"/>
      <c r="N270" s="8" t="s">
        <v>19</v>
      </c>
      <c r="O270" s="9"/>
      <c r="P270" s="9"/>
      <c r="Q270" s="9"/>
      <c r="R270" s="10" t="str">
        <f>IFERROR(__xludf.DUMMYFUNCTION("""COMPUTED_VALUE"""),"K")</f>
        <v>K</v>
      </c>
      <c r="S270" s="9"/>
    </row>
    <row r="271" ht="22.5" customHeight="1">
      <c r="A271" s="6">
        <v>270.0</v>
      </c>
      <c r="B271" s="9" t="str">
        <f>IFERROR(__xludf.DUMMYFUNCTION("""COMPUTED_VALUE"""),"Desainer Grafis Muda")</f>
        <v>Desainer Grafis Muda</v>
      </c>
      <c r="C271" s="9" t="str">
        <f>IFERROR(__xludf.DUMMYFUNCTION("""COMPUTED_VALUE"""),"SMK Negeri 6 Kendari")</f>
        <v>SMK Negeri 6 Kendari</v>
      </c>
      <c r="D271" s="9"/>
      <c r="E271" s="9"/>
      <c r="F271" s="9" t="str">
        <f>IFERROR(__xludf.DUMMYFUNCTION("""COMPUTED_VALUE"""),"Chelsi Aulia")</f>
        <v>Chelsi Aulia</v>
      </c>
      <c r="G271" s="9" t="str">
        <f>IFERROR(__xludf.DUMMYFUNCTION("""COMPUTED_VALUE"""),"7471034112090001")</f>
        <v>7471034112090001</v>
      </c>
      <c r="H271" s="9"/>
      <c r="I271" s="9"/>
      <c r="J271" s="10" t="str">
        <f>IFERROR(__xludf.DUMMYFUNCTION("""COMPUTED_VALUE"""),"PEREMPUAN")</f>
        <v>PEREMPUAN</v>
      </c>
      <c r="K271" s="9" t="str">
        <f>IFERROR(__xludf.DUMMYFUNCTION("""COMPUTED_VALUE"""),"Jl. Amohalo, Kel. Baruga, Kec. Baruga")</f>
        <v>Jl. Amohalo, Kel. Baruga, Kec. Baruga</v>
      </c>
      <c r="L271" s="9"/>
      <c r="M271" s="9"/>
      <c r="N271" s="8" t="s">
        <v>19</v>
      </c>
      <c r="O271" s="9"/>
      <c r="P271" s="9"/>
      <c r="Q271" s="9"/>
      <c r="R271" s="10" t="str">
        <f>IFERROR(__xludf.DUMMYFUNCTION("""COMPUTED_VALUE"""),"K")</f>
        <v>K</v>
      </c>
      <c r="S271" s="9"/>
    </row>
    <row r="272" ht="22.5" customHeight="1">
      <c r="A272" s="6">
        <v>271.0</v>
      </c>
      <c r="B272" s="9" t="str">
        <f>IFERROR(__xludf.DUMMYFUNCTION("""COMPUTED_VALUE"""),"Desainer Grafis Muda")</f>
        <v>Desainer Grafis Muda</v>
      </c>
      <c r="C272" s="9" t="str">
        <f>IFERROR(__xludf.DUMMYFUNCTION("""COMPUTED_VALUE"""),"SMK Negeri 6 Kendari")</f>
        <v>SMK Negeri 6 Kendari</v>
      </c>
      <c r="D272" s="9"/>
      <c r="E272" s="9"/>
      <c r="F272" s="9" t="str">
        <f>IFERROR(__xludf.DUMMYFUNCTION("""COMPUTED_VALUE"""),"Andi Khalisa Noer Amalia")</f>
        <v>Andi Khalisa Noer Amalia</v>
      </c>
      <c r="G272" s="9" t="str">
        <f>IFERROR(__xludf.DUMMYFUNCTION("""COMPUTED_VALUE"""),"7471054801090002")</f>
        <v>7471054801090002</v>
      </c>
      <c r="H272" s="9"/>
      <c r="I272" s="9"/>
      <c r="J272" s="10" t="str">
        <f>IFERROR(__xludf.DUMMYFUNCTION("""COMPUTED_VALUE"""),"PEREMPUAN")</f>
        <v>PEREMPUAN</v>
      </c>
      <c r="K272" s="9" t="str">
        <f>IFERROR(__xludf.DUMMYFUNCTION("""COMPUTED_VALUE"""),"BTN Tawang Alun 2 Blok P No 6")</f>
        <v>BTN Tawang Alun 2 Blok P No 6</v>
      </c>
      <c r="L272" s="9"/>
      <c r="M272" s="9"/>
      <c r="N272" s="8" t="s">
        <v>19</v>
      </c>
      <c r="O272" s="9"/>
      <c r="P272" s="9"/>
      <c r="Q272" s="9"/>
      <c r="R272" s="10" t="str">
        <f>IFERROR(__xludf.DUMMYFUNCTION("""COMPUTED_VALUE"""),"BK")</f>
        <v>BK</v>
      </c>
      <c r="S272" s="9"/>
    </row>
    <row r="273" ht="22.5" customHeight="1">
      <c r="A273" s="6">
        <v>272.0</v>
      </c>
      <c r="B273" s="9" t="str">
        <f>IFERROR(__xludf.DUMMYFUNCTION("""COMPUTED_VALUE"""),"Desainer Grafis Muda")</f>
        <v>Desainer Grafis Muda</v>
      </c>
      <c r="C273" s="9" t="str">
        <f>IFERROR(__xludf.DUMMYFUNCTION("""COMPUTED_VALUE"""),"SMK Negeri 6 Kendari")</f>
        <v>SMK Negeri 6 Kendari</v>
      </c>
      <c r="D273" s="9"/>
      <c r="E273" s="9"/>
      <c r="F273" s="9" t="str">
        <f>IFERROR(__xludf.DUMMYFUNCTION("""COMPUTED_VALUE"""),"Fidya Sari Putri")</f>
        <v>Fidya Sari Putri</v>
      </c>
      <c r="G273" s="9" t="str">
        <f>IFERROR(__xludf.DUMMYFUNCTION("""COMPUTED_VALUE"""),"7471054805080001")</f>
        <v>7471054805080001</v>
      </c>
      <c r="H273" s="9"/>
      <c r="I273" s="9"/>
      <c r="J273" s="10" t="str">
        <f>IFERROR(__xludf.DUMMYFUNCTION("""COMPUTED_VALUE"""),"PEREMPUAN")</f>
        <v>PEREMPUAN</v>
      </c>
      <c r="K273" s="9" t="str">
        <f>IFERROR(__xludf.DUMMYFUNCTION("""COMPUTED_VALUE"""),"BTN Medi Brata Blok A 10")</f>
        <v>BTN Medi Brata Blok A 10</v>
      </c>
      <c r="L273" s="9"/>
      <c r="M273" s="9"/>
      <c r="N273" s="8" t="s">
        <v>19</v>
      </c>
      <c r="O273" s="9"/>
      <c r="P273" s="9"/>
      <c r="Q273" s="9"/>
      <c r="R273" s="10" t="str">
        <f>IFERROR(__xludf.DUMMYFUNCTION("""COMPUTED_VALUE"""),"K")</f>
        <v>K</v>
      </c>
      <c r="S273" s="9"/>
    </row>
    <row r="274" ht="22.5" customHeight="1">
      <c r="A274" s="6">
        <v>273.0</v>
      </c>
      <c r="B274" s="9" t="str">
        <f>IFERROR(__xludf.DUMMYFUNCTION("""COMPUTED_VALUE"""),"Desainer Grafis Muda")</f>
        <v>Desainer Grafis Muda</v>
      </c>
      <c r="C274" s="9" t="str">
        <f>IFERROR(__xludf.DUMMYFUNCTION("""COMPUTED_VALUE"""),"SMK Negeri 6 Kendari")</f>
        <v>SMK Negeri 6 Kendari</v>
      </c>
      <c r="D274" s="9"/>
      <c r="E274" s="9"/>
      <c r="F274" s="9" t="str">
        <f>IFERROR(__xludf.DUMMYFUNCTION("""COMPUTED_VALUE"""),"Dila Tri Astuti")</f>
        <v>Dila Tri Astuti</v>
      </c>
      <c r="G274" s="9" t="str">
        <f>IFERROR(__xludf.DUMMYFUNCTION("""COMPUTED_VALUE"""),"7405224211070001")</f>
        <v>7405224211070001</v>
      </c>
      <c r="H274" s="9"/>
      <c r="I274" s="9"/>
      <c r="J274" s="10" t="str">
        <f>IFERROR(__xludf.DUMMYFUNCTION("""COMPUTED_VALUE"""),"PEREMPUAN")</f>
        <v>PEREMPUAN</v>
      </c>
      <c r="K274" s="9" t="str">
        <f>IFERROR(__xludf.DUMMYFUNCTION("""COMPUTED_VALUE"""),"Jl. Sindang Kasih, Kec. Ranomeeto")</f>
        <v>Jl. Sindang Kasih, Kec. Ranomeeto</v>
      </c>
      <c r="L274" s="9"/>
      <c r="M274" s="9"/>
      <c r="N274" s="8" t="s">
        <v>19</v>
      </c>
      <c r="O274" s="9"/>
      <c r="P274" s="9"/>
      <c r="Q274" s="9"/>
      <c r="R274" s="10" t="str">
        <f>IFERROR(__xludf.DUMMYFUNCTION("""COMPUTED_VALUE"""),"K")</f>
        <v>K</v>
      </c>
      <c r="S274" s="9"/>
    </row>
    <row r="275" ht="22.5" customHeight="1">
      <c r="A275" s="6">
        <v>274.0</v>
      </c>
      <c r="B275" s="9" t="str">
        <f>IFERROR(__xludf.DUMMYFUNCTION("""COMPUTED_VALUE"""),"Desainer Grafis Muda")</f>
        <v>Desainer Grafis Muda</v>
      </c>
      <c r="C275" s="9" t="str">
        <f>IFERROR(__xludf.DUMMYFUNCTION("""COMPUTED_VALUE"""),"SMK Negeri 6 Kendari")</f>
        <v>SMK Negeri 6 Kendari</v>
      </c>
      <c r="D275" s="9"/>
      <c r="E275" s="9"/>
      <c r="F275" s="9" t="str">
        <f>IFERROR(__xludf.DUMMYFUNCTION("""COMPUTED_VALUE"""),"Ilham Firmansyah")</f>
        <v>Ilham Firmansyah</v>
      </c>
      <c r="G275" s="9" t="str">
        <f>IFERROR(__xludf.DUMMYFUNCTION("""COMPUTED_VALUE"""),"7471030906070001")</f>
        <v>7471030906070001</v>
      </c>
      <c r="H275" s="9"/>
      <c r="I275" s="9"/>
      <c r="J275" s="10" t="str">
        <f>IFERROR(__xludf.DUMMYFUNCTION("""COMPUTED_VALUE"""),"LAKI-LAKI")</f>
        <v>LAKI-LAKI</v>
      </c>
      <c r="K275" s="9" t="str">
        <f>IFERROR(__xludf.DUMMYFUNCTION("""COMPUTED_VALUE"""),"BTN Latjinta 11 Blok B4 No 1")</f>
        <v>BTN Latjinta 11 Blok B4 No 1</v>
      </c>
      <c r="L275" s="9"/>
      <c r="M275" s="9"/>
      <c r="N275" s="8" t="s">
        <v>19</v>
      </c>
      <c r="O275" s="9"/>
      <c r="P275" s="9"/>
      <c r="Q275" s="9"/>
      <c r="R275" s="10" t="str">
        <f>IFERROR(__xludf.DUMMYFUNCTION("""COMPUTED_VALUE"""),"K")</f>
        <v>K</v>
      </c>
      <c r="S275" s="9"/>
    </row>
    <row r="276" ht="22.5" customHeight="1">
      <c r="A276" s="6">
        <v>275.0</v>
      </c>
      <c r="B276" s="9" t="str">
        <f>IFERROR(__xludf.DUMMYFUNCTION("""COMPUTED_VALUE"""),"Desainer Grafis Muda")</f>
        <v>Desainer Grafis Muda</v>
      </c>
      <c r="C276" s="9" t="str">
        <f>IFERROR(__xludf.DUMMYFUNCTION("""COMPUTED_VALUE"""),"SMK Negeri 6 Kendari")</f>
        <v>SMK Negeri 6 Kendari</v>
      </c>
      <c r="D276" s="9"/>
      <c r="E276" s="9"/>
      <c r="F276" s="9" t="str">
        <f>IFERROR(__xludf.DUMMYFUNCTION("""COMPUTED_VALUE"""),"Lya Rahmadani")</f>
        <v>Lya Rahmadani</v>
      </c>
      <c r="G276" s="9" t="str">
        <f>IFERROR(__xludf.DUMMYFUNCTION("""COMPUTED_VALUE"""),"7471037009080001")</f>
        <v>7471037009080001</v>
      </c>
      <c r="H276" s="9"/>
      <c r="I276" s="9"/>
      <c r="J276" s="10" t="str">
        <f>IFERROR(__xludf.DUMMYFUNCTION("""COMPUTED_VALUE"""),"PEREMPUAN")</f>
        <v>PEREMPUAN</v>
      </c>
      <c r="K276" s="9" t="str">
        <f>IFERROR(__xludf.DUMMYFUNCTION("""COMPUTED_VALUE"""),"Jl. Ade Irma Nasution")</f>
        <v>Jl. Ade Irma Nasution</v>
      </c>
      <c r="L276" s="9"/>
      <c r="M276" s="9"/>
      <c r="N276" s="8" t="s">
        <v>19</v>
      </c>
      <c r="O276" s="9"/>
      <c r="P276" s="9"/>
      <c r="Q276" s="9"/>
      <c r="R276" s="10" t="str">
        <f>IFERROR(__xludf.DUMMYFUNCTION("""COMPUTED_VALUE"""),"K")</f>
        <v>K</v>
      </c>
      <c r="S276" s="9"/>
    </row>
    <row r="277" ht="22.5" customHeight="1">
      <c r="A277" s="6">
        <v>276.0</v>
      </c>
      <c r="B277" s="9" t="str">
        <f>IFERROR(__xludf.DUMMYFUNCTION("""COMPUTED_VALUE"""),"Desainer Grafis Muda")</f>
        <v>Desainer Grafis Muda</v>
      </c>
      <c r="C277" s="9" t="str">
        <f>IFERROR(__xludf.DUMMYFUNCTION("""COMPUTED_VALUE"""),"SMK Negeri 6 Kendari")</f>
        <v>SMK Negeri 6 Kendari</v>
      </c>
      <c r="D277" s="9"/>
      <c r="E277" s="9"/>
      <c r="F277" s="9" t="str">
        <f>IFERROR(__xludf.DUMMYFUNCTION("""COMPUTED_VALUE"""),"Andini Nuramadani")</f>
        <v>Andini Nuramadani</v>
      </c>
      <c r="G277" s="9" t="str">
        <f>IFERROR(__xludf.DUMMYFUNCTION("""COMPUTED_VALUE"""),"7471035808080101")</f>
        <v>7471035808080101</v>
      </c>
      <c r="H277" s="9"/>
      <c r="I277" s="9"/>
      <c r="J277" s="10" t="str">
        <f>IFERROR(__xludf.DUMMYFUNCTION("""COMPUTED_VALUE"""),"PEREMPUAN")</f>
        <v>PEREMPUAN</v>
      </c>
      <c r="K277" s="9" t="str">
        <f>IFERROR(__xludf.DUMMYFUNCTION("""COMPUTED_VALUE"""),"Jl. Pasar Baruga")</f>
        <v>Jl. Pasar Baruga</v>
      </c>
      <c r="L277" s="9"/>
      <c r="M277" s="9"/>
      <c r="N277" s="8" t="s">
        <v>19</v>
      </c>
      <c r="O277" s="9"/>
      <c r="P277" s="9"/>
      <c r="Q277" s="9"/>
      <c r="R277" s="10" t="str">
        <f>IFERROR(__xludf.DUMMYFUNCTION("""COMPUTED_VALUE"""),"K")</f>
        <v>K</v>
      </c>
      <c r="S277" s="9"/>
    </row>
    <row r="278" ht="22.5" customHeight="1">
      <c r="A278" s="6">
        <v>277.0</v>
      </c>
      <c r="B278" s="9" t="str">
        <f>IFERROR(__xludf.DUMMYFUNCTION("""COMPUTED_VALUE"""),"Desainer Grafis Muda")</f>
        <v>Desainer Grafis Muda</v>
      </c>
      <c r="C278" s="9" t="str">
        <f>IFERROR(__xludf.DUMMYFUNCTION("""COMPUTED_VALUE"""),"SMK Negeri 6 Kendari")</f>
        <v>SMK Negeri 6 Kendari</v>
      </c>
      <c r="D278" s="9"/>
      <c r="E278" s="9"/>
      <c r="F278" s="9" t="str">
        <f>IFERROR(__xludf.DUMMYFUNCTION("""COMPUTED_VALUE"""),"Natasya Kalfary")</f>
        <v>Natasya Kalfary</v>
      </c>
      <c r="G278" s="9" t="str">
        <f>IFERROR(__xludf.DUMMYFUNCTION("""COMPUTED_VALUE"""),"7405075003080001")</f>
        <v>7405075003080001</v>
      </c>
      <c r="H278" s="9"/>
      <c r="I278" s="9"/>
      <c r="J278" s="10" t="str">
        <f>IFERROR(__xludf.DUMMYFUNCTION("""COMPUTED_VALUE"""),"PEREMPUAN")</f>
        <v>PEREMPUAN</v>
      </c>
      <c r="K278" s="9" t="str">
        <f>IFERROR(__xludf.DUMMYFUNCTION("""COMPUTED_VALUE"""),"Desa Lamomea")</f>
        <v>Desa Lamomea</v>
      </c>
      <c r="L278" s="9"/>
      <c r="M278" s="9"/>
      <c r="N278" s="8" t="s">
        <v>19</v>
      </c>
      <c r="O278" s="9"/>
      <c r="P278" s="9"/>
      <c r="Q278" s="9"/>
      <c r="R278" s="10" t="str">
        <f>IFERROR(__xludf.DUMMYFUNCTION("""COMPUTED_VALUE"""),"K")</f>
        <v>K</v>
      </c>
      <c r="S278" s="9"/>
    </row>
    <row r="279" ht="22.5" customHeight="1">
      <c r="A279" s="6">
        <v>278.0</v>
      </c>
      <c r="B279" s="9" t="str">
        <f>IFERROR(__xludf.DUMMYFUNCTION("""COMPUTED_VALUE"""),"Desainer Grafis Muda")</f>
        <v>Desainer Grafis Muda</v>
      </c>
      <c r="C279" s="9" t="str">
        <f>IFERROR(__xludf.DUMMYFUNCTION("""COMPUTED_VALUE"""),"SMK Negeri 6 Kendari")</f>
        <v>SMK Negeri 6 Kendari</v>
      </c>
      <c r="D279" s="9"/>
      <c r="E279" s="9"/>
      <c r="F279" s="9" t="str">
        <f>IFERROR(__xludf.DUMMYFUNCTION("""COMPUTED_VALUE"""),"Silvia Ratnisha Fitri")</f>
        <v>Silvia Ratnisha Fitri</v>
      </c>
      <c r="G279" s="9">
        <f>IFERROR(__xludf.DUMMYFUNCTION("""COMPUTED_VALUE"""),7.40508490907004E14)</f>
        <v>740508490907004</v>
      </c>
      <c r="H279" s="9"/>
      <c r="I279" s="9"/>
      <c r="J279" s="10" t="str">
        <f>IFERROR(__xludf.DUMMYFUNCTION("""COMPUTED_VALUE"""),"PEREMPUAN")</f>
        <v>PEREMPUAN</v>
      </c>
      <c r="K279" s="9" t="str">
        <f>IFERROR(__xludf.DUMMYFUNCTION("""COMPUTED_VALUE"""),"Jl. Melati, Desa Kota Bangun, Kec. Ranomeeto")</f>
        <v>Jl. Melati, Desa Kota Bangun, Kec. Ranomeeto</v>
      </c>
      <c r="L279" s="9"/>
      <c r="M279" s="9"/>
      <c r="N279" s="8" t="s">
        <v>19</v>
      </c>
      <c r="O279" s="9"/>
      <c r="P279" s="9"/>
      <c r="Q279" s="9"/>
      <c r="R279" s="10" t="str">
        <f>IFERROR(__xludf.DUMMYFUNCTION("""COMPUTED_VALUE"""),"K")</f>
        <v>K</v>
      </c>
      <c r="S279" s="9"/>
    </row>
    <row r="280" ht="22.5" customHeight="1">
      <c r="A280" s="6">
        <v>279.0</v>
      </c>
      <c r="B280" s="9" t="str">
        <f>IFERROR(__xludf.DUMMYFUNCTION("""COMPUTED_VALUE"""),"Desainer Grafis Muda")</f>
        <v>Desainer Grafis Muda</v>
      </c>
      <c r="C280" s="9" t="str">
        <f>IFERROR(__xludf.DUMMYFUNCTION("""COMPUTED_VALUE"""),"SMK Negeri 6 Kendari")</f>
        <v>SMK Negeri 6 Kendari</v>
      </c>
      <c r="D280" s="9"/>
      <c r="E280" s="9"/>
      <c r="F280" s="9" t="str">
        <f>IFERROR(__xludf.DUMMYFUNCTION("""COMPUTED_VALUE"""),"Adil Asmara")</f>
        <v>Adil Asmara</v>
      </c>
      <c r="G280" s="9" t="str">
        <f>IFERROR(__xludf.DUMMYFUNCTION("""COMPUTED_VALUE"""),"7471030610080002")</f>
        <v>7471030610080002</v>
      </c>
      <c r="H280" s="9"/>
      <c r="I280" s="9"/>
      <c r="J280" s="10" t="str">
        <f>IFERROR(__xludf.DUMMYFUNCTION("""COMPUTED_VALUE"""),"LAKI-LAKI")</f>
        <v>LAKI-LAKI</v>
      </c>
      <c r="K280" s="9" t="str">
        <f>IFERROR(__xludf.DUMMYFUNCTION("""COMPUTED_VALUE"""),"Jl. Amohalo")</f>
        <v>Jl. Amohalo</v>
      </c>
      <c r="L280" s="9"/>
      <c r="M280" s="9"/>
      <c r="N280" s="8" t="s">
        <v>19</v>
      </c>
      <c r="O280" s="9"/>
      <c r="P280" s="9"/>
      <c r="Q280" s="9"/>
      <c r="R280" s="10" t="str">
        <f>IFERROR(__xludf.DUMMYFUNCTION("""COMPUTED_VALUE"""),"K")</f>
        <v>K</v>
      </c>
      <c r="S280" s="9"/>
    </row>
    <row r="281" ht="22.5" customHeight="1">
      <c r="A281" s="6">
        <v>280.0</v>
      </c>
      <c r="B281" s="9" t="str">
        <f>IFERROR(__xludf.DUMMYFUNCTION("""COMPUTED_VALUE"""),"Desainer Grafis Muda")</f>
        <v>Desainer Grafis Muda</v>
      </c>
      <c r="C281" s="9" t="str">
        <f>IFERROR(__xludf.DUMMYFUNCTION("""COMPUTED_VALUE"""),"SMK Negeri 6 Kendari")</f>
        <v>SMK Negeri 6 Kendari</v>
      </c>
      <c r="D281" s="9"/>
      <c r="E281" s="9"/>
      <c r="F281" s="9" t="str">
        <f>IFERROR(__xludf.DUMMYFUNCTION("""COMPUTED_VALUE"""),"Hairul Hermawan Saputra")</f>
        <v>Hairul Hermawan Saputra</v>
      </c>
      <c r="G281" s="9" t="str">
        <f>IFERROR(__xludf.DUMMYFUNCTION("""COMPUTED_VALUE"""),"7471071302080004")</f>
        <v>7471071302080004</v>
      </c>
      <c r="H281" s="9"/>
      <c r="I281" s="9"/>
      <c r="J281" s="10" t="str">
        <f>IFERROR(__xludf.DUMMYFUNCTION("""COMPUTED_VALUE"""),"LAKI-LAKI")</f>
        <v>LAKI-LAKI</v>
      </c>
      <c r="K281" s="9" t="str">
        <f>IFERROR(__xludf.DUMMYFUNCTION("""COMPUTED_VALUE"""),"Jl.Chairil Anwar N0.43C ")</f>
        <v>Jl.Chairil Anwar N0.43C </v>
      </c>
      <c r="L281" s="9"/>
      <c r="M281" s="9"/>
      <c r="N281" s="8" t="s">
        <v>19</v>
      </c>
      <c r="O281" s="9"/>
      <c r="P281" s="9"/>
      <c r="Q281" s="9"/>
      <c r="R281" s="10" t="str">
        <f>IFERROR(__xludf.DUMMYFUNCTION("""COMPUTED_VALUE"""),"K")</f>
        <v>K</v>
      </c>
      <c r="S281" s="9"/>
    </row>
    <row r="282" ht="22.5" customHeight="1">
      <c r="A282" s="6">
        <v>281.0</v>
      </c>
      <c r="B282" s="9" t="str">
        <f>IFERROR(__xludf.DUMMYFUNCTION("""COMPUTED_VALUE"""),"Desainer Grafis Muda")</f>
        <v>Desainer Grafis Muda</v>
      </c>
      <c r="C282" s="9" t="str">
        <f>IFERROR(__xludf.DUMMYFUNCTION("""COMPUTED_VALUE"""),"SMK Negeri 6 Kendari")</f>
        <v>SMK Negeri 6 Kendari</v>
      </c>
      <c r="D282" s="9"/>
      <c r="E282" s="9"/>
      <c r="F282" s="9" t="str">
        <f>IFERROR(__xludf.DUMMYFUNCTION("""COMPUTED_VALUE"""),"Brio Toto Aryanto")</f>
        <v>Brio Toto Aryanto</v>
      </c>
      <c r="G282" s="9" t="str">
        <f>IFERROR(__xludf.DUMMYFUNCTION("""COMPUTED_VALUE"""),"7401020606070001")</f>
        <v>7401020606070001</v>
      </c>
      <c r="H282" s="9"/>
      <c r="I282" s="9"/>
      <c r="J282" s="10" t="str">
        <f>IFERROR(__xludf.DUMMYFUNCTION("""COMPUTED_VALUE"""),"LAKI-LAKI")</f>
        <v>LAKI-LAKI</v>
      </c>
      <c r="K282" s="9" t="str">
        <f>IFERROR(__xludf.DUMMYFUNCTION("""COMPUTED_VALUE"""),"Jl. Mawar, Kec. Ranomeeto")</f>
        <v>Jl. Mawar, Kec. Ranomeeto</v>
      </c>
      <c r="L282" s="9"/>
      <c r="M282" s="9"/>
      <c r="N282" s="8" t="s">
        <v>19</v>
      </c>
      <c r="O282" s="9"/>
      <c r="P282" s="9"/>
      <c r="Q282" s="9"/>
      <c r="R282" s="10" t="str">
        <f>IFERROR(__xludf.DUMMYFUNCTION("""COMPUTED_VALUE"""),"K")</f>
        <v>K</v>
      </c>
      <c r="S282" s="9"/>
    </row>
    <row r="283" ht="22.5" customHeight="1">
      <c r="A283" s="6">
        <v>282.0</v>
      </c>
      <c r="B283" s="9" t="str">
        <f>IFERROR(__xludf.DUMMYFUNCTION("""COMPUTED_VALUE"""),"Desainer Grafis Muda")</f>
        <v>Desainer Grafis Muda</v>
      </c>
      <c r="C283" s="9" t="str">
        <f>IFERROR(__xludf.DUMMYFUNCTION("""COMPUTED_VALUE"""),"SMK Negeri 6 Kendari")</f>
        <v>SMK Negeri 6 Kendari</v>
      </c>
      <c r="D283" s="9"/>
      <c r="E283" s="9"/>
      <c r="F283" s="9" t="str">
        <f>IFERROR(__xludf.DUMMYFUNCTION("""COMPUTED_VALUE"""),"Rudi")</f>
        <v>Rudi</v>
      </c>
      <c r="G283" s="9" t="str">
        <f>IFERROR(__xludf.DUMMYFUNCTION("""COMPUTED_VALUE"""),"7405022305010004")</f>
        <v>7405022305010004</v>
      </c>
      <c r="H283" s="9"/>
      <c r="I283" s="9"/>
      <c r="J283" s="10" t="str">
        <f>IFERROR(__xludf.DUMMYFUNCTION("""COMPUTED_VALUE"""),"LAKI-LAKI")</f>
        <v>LAKI-LAKI</v>
      </c>
      <c r="K283" s="9" t="str">
        <f>IFERROR(__xludf.DUMMYFUNCTION("""COMPUTED_VALUE"""),"Desa Lamoeri")</f>
        <v>Desa Lamoeri</v>
      </c>
      <c r="L283" s="9"/>
      <c r="M283" s="9"/>
      <c r="N283" s="8" t="s">
        <v>19</v>
      </c>
      <c r="O283" s="9"/>
      <c r="P283" s="9"/>
      <c r="Q283" s="9"/>
      <c r="R283" s="10" t="str">
        <f>IFERROR(__xludf.DUMMYFUNCTION("""COMPUTED_VALUE"""),"K")</f>
        <v>K</v>
      </c>
      <c r="S283" s="9"/>
    </row>
    <row r="284" ht="22.5" customHeight="1">
      <c r="A284" s="6">
        <v>283.0</v>
      </c>
      <c r="B284" s="9" t="str">
        <f>IFERROR(__xludf.DUMMYFUNCTION("""COMPUTED_VALUE"""),"Desainer Grafis Muda")</f>
        <v>Desainer Grafis Muda</v>
      </c>
      <c r="C284" s="9" t="str">
        <f>IFERROR(__xludf.DUMMYFUNCTION("""COMPUTED_VALUE"""),"SMK Negeri 6 Kendari")</f>
        <v>SMK Negeri 6 Kendari</v>
      </c>
      <c r="D284" s="9"/>
      <c r="E284" s="9"/>
      <c r="F284" s="9" t="str">
        <f>IFERROR(__xludf.DUMMYFUNCTION("""COMPUTED_VALUE"""),"Al Sabri Wahyudin")</f>
        <v>Al Sabri Wahyudin</v>
      </c>
      <c r="G284" s="9" t="str">
        <f>IFERROR(__xludf.DUMMYFUNCTION("""COMPUTED_VALUE"""),"7405082201080001")</f>
        <v>7405082201080001</v>
      </c>
      <c r="H284" s="9"/>
      <c r="I284" s="9"/>
      <c r="J284" s="10" t="str">
        <f>IFERROR(__xludf.DUMMYFUNCTION("""COMPUTED_VALUE"""),"LAKI-LAKI")</f>
        <v>LAKI-LAKI</v>
      </c>
      <c r="K284" s="9" t="str">
        <f>IFERROR(__xludf.DUMMYFUNCTION("""COMPUTED_VALUE"""),"Des Laikaaha, Kec Ranomeeto")</f>
        <v>Des Laikaaha, Kec Ranomeeto</v>
      </c>
      <c r="L284" s="9"/>
      <c r="M284" s="9"/>
      <c r="N284" s="8" t="s">
        <v>19</v>
      </c>
      <c r="O284" s="9"/>
      <c r="P284" s="9"/>
      <c r="Q284" s="9"/>
      <c r="R284" s="10" t="str">
        <f>IFERROR(__xludf.DUMMYFUNCTION("""COMPUTED_VALUE"""),"K")</f>
        <v>K</v>
      </c>
      <c r="S284" s="9"/>
    </row>
    <row r="285" ht="22.5" customHeight="1">
      <c r="A285" s="6">
        <v>284.0</v>
      </c>
      <c r="B285" s="9" t="str">
        <f>IFERROR(__xludf.DUMMYFUNCTION("""COMPUTED_VALUE"""),"Desainer Grafis Muda")</f>
        <v>Desainer Grafis Muda</v>
      </c>
      <c r="C285" s="9" t="str">
        <f>IFERROR(__xludf.DUMMYFUNCTION("""COMPUTED_VALUE"""),"SMK Negeri 6 Kendari")</f>
        <v>SMK Negeri 6 Kendari</v>
      </c>
      <c r="D285" s="9"/>
      <c r="E285" s="9"/>
      <c r="F285" s="9" t="str">
        <f>IFERROR(__xludf.DUMMYFUNCTION("""COMPUTED_VALUE"""),"Bunga Rasti Nirwana")</f>
        <v>Bunga Rasti Nirwana</v>
      </c>
      <c r="G285" s="9" t="str">
        <f>IFERROR(__xludf.DUMMYFUNCTION("""COMPUTED_VALUE"""),"7471094808080002")</f>
        <v>7471094808080002</v>
      </c>
      <c r="H285" s="9"/>
      <c r="I285" s="9"/>
      <c r="J285" s="10" t="str">
        <f>IFERROR(__xludf.DUMMYFUNCTION("""COMPUTED_VALUE"""),"PEREMPUAN")</f>
        <v>PEREMPUAN</v>
      </c>
      <c r="K285" s="9" t="str">
        <f>IFERROR(__xludf.DUMMYFUNCTION("""COMPUTED_VALUE"""),"Jl. H. Lamuse N0.15")</f>
        <v>Jl. H. Lamuse N0.15</v>
      </c>
      <c r="L285" s="9"/>
      <c r="M285" s="9"/>
      <c r="N285" s="8" t="s">
        <v>19</v>
      </c>
      <c r="O285" s="9"/>
      <c r="P285" s="9"/>
      <c r="Q285" s="9"/>
      <c r="R285" s="10" t="str">
        <f>IFERROR(__xludf.DUMMYFUNCTION("""COMPUTED_VALUE"""),"K")</f>
        <v>K</v>
      </c>
      <c r="S285" s="9"/>
    </row>
    <row r="286" ht="22.5" customHeight="1">
      <c r="A286" s="6">
        <v>285.0</v>
      </c>
      <c r="B286" s="9" t="str">
        <f>IFERROR(__xludf.DUMMYFUNCTION("""COMPUTED_VALUE"""),"Desainer Grafis Muda")</f>
        <v>Desainer Grafis Muda</v>
      </c>
      <c r="C286" s="9" t="str">
        <f>IFERROR(__xludf.DUMMYFUNCTION("""COMPUTED_VALUE"""),"SMK Negeri 6 Kendari")</f>
        <v>SMK Negeri 6 Kendari</v>
      </c>
      <c r="D286" s="9"/>
      <c r="E286" s="9"/>
      <c r="F286" s="9" t="str">
        <f>IFERROR(__xludf.DUMMYFUNCTION("""COMPUTED_VALUE"""),"Naya Wirandy")</f>
        <v>Naya Wirandy</v>
      </c>
      <c r="G286" s="9" t="str">
        <f>IFERROR(__xludf.DUMMYFUNCTION("""COMPUTED_VALUE"""),"7471034905080001")</f>
        <v>7471034905080001</v>
      </c>
      <c r="H286" s="9"/>
      <c r="I286" s="9"/>
      <c r="J286" s="10" t="str">
        <f>IFERROR(__xludf.DUMMYFUNCTION("""COMPUTED_VALUE"""),"PEREMPUAN")</f>
        <v>PEREMPUAN</v>
      </c>
      <c r="K286" s="9" t="str">
        <f>IFERROR(__xludf.DUMMYFUNCTION("""COMPUTED_VALUE"""),"BTN Gria Baruga Indah Blok L No.5")</f>
        <v>BTN Gria Baruga Indah Blok L No.5</v>
      </c>
      <c r="L286" s="9"/>
      <c r="M286" s="9"/>
      <c r="N286" s="8" t="s">
        <v>19</v>
      </c>
      <c r="O286" s="9"/>
      <c r="P286" s="9"/>
      <c r="Q286" s="9"/>
      <c r="R286" s="10" t="str">
        <f>IFERROR(__xludf.DUMMYFUNCTION("""COMPUTED_VALUE"""),"K")</f>
        <v>K</v>
      </c>
      <c r="S286" s="9"/>
    </row>
    <row r="287" ht="22.5" customHeight="1">
      <c r="A287" s="6">
        <v>286.0</v>
      </c>
      <c r="B287" s="9" t="str">
        <f>IFERROR(__xludf.DUMMYFUNCTION("""COMPUTED_VALUE"""),"Desainer Grafis Muda")</f>
        <v>Desainer Grafis Muda</v>
      </c>
      <c r="C287" s="9" t="str">
        <f>IFERROR(__xludf.DUMMYFUNCTION("""COMPUTED_VALUE"""),"SMK Negeri 6 Kendari")</f>
        <v>SMK Negeri 6 Kendari</v>
      </c>
      <c r="D287" s="9"/>
      <c r="E287" s="9"/>
      <c r="F287" s="9" t="str">
        <f>IFERROR(__xludf.DUMMYFUNCTION("""COMPUTED_VALUE"""),"Tri Gali")</f>
        <v>Tri Gali</v>
      </c>
      <c r="G287" s="9" t="str">
        <f>IFERROR(__xludf.DUMMYFUNCTION("""COMPUTED_VALUE"""),"7405081306070001")</f>
        <v>7405081306070001</v>
      </c>
      <c r="H287" s="9"/>
      <c r="I287" s="9"/>
      <c r="J287" s="10" t="str">
        <f>IFERROR(__xludf.DUMMYFUNCTION("""COMPUTED_VALUE"""),"LAKI-LAKI")</f>
        <v>LAKI-LAKI</v>
      </c>
      <c r="K287" s="9" t="str">
        <f>IFERROR(__xludf.DUMMYFUNCTION("""COMPUTED_VALUE"""),"Kel/Desa Ranomeeto/ kecamatan Ranomeeto, Jl. pendidikan")</f>
        <v>Kel/Desa Ranomeeto/ kecamatan Ranomeeto, Jl. pendidikan</v>
      </c>
      <c r="L287" s="9"/>
      <c r="M287" s="9"/>
      <c r="N287" s="8" t="s">
        <v>19</v>
      </c>
      <c r="O287" s="9"/>
      <c r="P287" s="9"/>
      <c r="Q287" s="9"/>
      <c r="R287" s="10" t="str">
        <f>IFERROR(__xludf.DUMMYFUNCTION("""COMPUTED_VALUE"""),"K")</f>
        <v>K</v>
      </c>
      <c r="S287" s="9"/>
    </row>
    <row r="288" ht="22.5" customHeight="1">
      <c r="A288" s="6">
        <v>287.0</v>
      </c>
      <c r="B288" s="9" t="str">
        <f>IFERROR(__xludf.DUMMYFUNCTION("""COMPUTED_VALUE"""),"Desainer Grafis Muda")</f>
        <v>Desainer Grafis Muda</v>
      </c>
      <c r="C288" s="9" t="str">
        <f>IFERROR(__xludf.DUMMYFUNCTION("""COMPUTED_VALUE"""),"SMK Negeri 6 Kendari")</f>
        <v>SMK Negeri 6 Kendari</v>
      </c>
      <c r="D288" s="9"/>
      <c r="E288" s="9"/>
      <c r="F288" s="9" t="str">
        <f>IFERROR(__xludf.DUMMYFUNCTION("""COMPUTED_VALUE"""),"Raditya Rustam")</f>
        <v>Raditya Rustam</v>
      </c>
      <c r="G288" s="9" t="str">
        <f>IFERROR(__xludf.DUMMYFUNCTION("""COMPUTED_VALUE"""),"7471034510090003")</f>
        <v>7471034510090003</v>
      </c>
      <c r="H288" s="9"/>
      <c r="I288" s="9"/>
      <c r="J288" s="10" t="str">
        <f>IFERROR(__xludf.DUMMYFUNCTION("""COMPUTED_VALUE"""),"PEREMPUAN")</f>
        <v>PEREMPUAN</v>
      </c>
      <c r="K288" s="9" t="str">
        <f>IFERROR(__xludf.DUMMYFUNCTION("""COMPUTED_VALUE"""),"Desa Puosu Jaya, Kec. Konda")</f>
        <v>Desa Puosu Jaya, Kec. Konda</v>
      </c>
      <c r="L288" s="9"/>
      <c r="M288" s="9"/>
      <c r="N288" s="8" t="s">
        <v>19</v>
      </c>
      <c r="O288" s="9"/>
      <c r="P288" s="9"/>
      <c r="Q288" s="9"/>
      <c r="R288" s="10" t="str">
        <f>IFERROR(__xludf.DUMMYFUNCTION("""COMPUTED_VALUE"""),"K")</f>
        <v>K</v>
      </c>
      <c r="S288" s="9"/>
    </row>
    <row r="289" ht="22.5" customHeight="1">
      <c r="A289" s="6">
        <v>288.0</v>
      </c>
      <c r="B289" s="9" t="str">
        <f>IFERROR(__xludf.DUMMYFUNCTION("""COMPUTED_VALUE"""),"Desainer Grafis Muda")</f>
        <v>Desainer Grafis Muda</v>
      </c>
      <c r="C289" s="9" t="str">
        <f>IFERROR(__xludf.DUMMYFUNCTION("""COMPUTED_VALUE"""),"SMK Negeri 6 Kendari")</f>
        <v>SMK Negeri 6 Kendari</v>
      </c>
      <c r="D289" s="9"/>
      <c r="E289" s="9"/>
      <c r="F289" s="9" t="str">
        <f>IFERROR(__xludf.DUMMYFUNCTION("""COMPUTED_VALUE"""),"Nur Hafni")</f>
        <v>Nur Hafni</v>
      </c>
      <c r="G289" s="9" t="str">
        <f>IFERROR(__xludf.DUMMYFUNCTION("""COMPUTED_VALUE"""),"7471106106840002")</f>
        <v>7471106106840002</v>
      </c>
      <c r="H289" s="9"/>
      <c r="I289" s="9"/>
      <c r="J289" s="10" t="str">
        <f>IFERROR(__xludf.DUMMYFUNCTION("""COMPUTED_VALUE"""),"PEREMPUAN")</f>
        <v>PEREMPUAN</v>
      </c>
      <c r="K289" s="9" t="str">
        <f>IFERROR(__xludf.DUMMYFUNCTION("""COMPUTED_VALUE"""),"Jl. Hj Lamuse")</f>
        <v>Jl. Hj Lamuse</v>
      </c>
      <c r="L289" s="9"/>
      <c r="M289" s="9"/>
      <c r="N289" s="8" t="s">
        <v>19</v>
      </c>
      <c r="O289" s="9"/>
      <c r="P289" s="9"/>
      <c r="Q289" s="9"/>
      <c r="R289" s="10" t="str">
        <f>IFERROR(__xludf.DUMMYFUNCTION("""COMPUTED_VALUE"""),"K")</f>
        <v>K</v>
      </c>
      <c r="S289" s="9"/>
    </row>
    <row r="290" ht="22.5" customHeight="1">
      <c r="A290" s="6">
        <v>289.0</v>
      </c>
      <c r="B290" s="9" t="str">
        <f>IFERROR(__xludf.DUMMYFUNCTION("""COMPUTED_VALUE"""),"Desainer Grafis Muda")</f>
        <v>Desainer Grafis Muda</v>
      </c>
      <c r="C290" s="9" t="str">
        <f>IFERROR(__xludf.DUMMYFUNCTION("""COMPUTED_VALUE"""),"SMK Negeri 6 Kendari")</f>
        <v>SMK Negeri 6 Kendari</v>
      </c>
      <c r="D290" s="9"/>
      <c r="E290" s="9"/>
      <c r="F290" s="9" t="str">
        <f>IFERROR(__xludf.DUMMYFUNCTION("""COMPUTED_VALUE"""),"Muhamad Fahrul Alamsyah")</f>
        <v>Muhamad Fahrul Alamsyah</v>
      </c>
      <c r="G290" s="9" t="str">
        <f>IFERROR(__xludf.DUMMYFUNCTION("""COMPUTED_VALUE"""),"7471081302080001")</f>
        <v>7471081302080001</v>
      </c>
      <c r="H290" s="9"/>
      <c r="I290" s="9"/>
      <c r="J290" s="10" t="str">
        <f>IFERROR(__xludf.DUMMYFUNCTION("""COMPUTED_VALUE"""),"LAKI-LAKI")</f>
        <v>LAKI-LAKI</v>
      </c>
      <c r="K290" s="9"/>
      <c r="L290" s="9"/>
      <c r="M290" s="9"/>
      <c r="N290" s="8" t="s">
        <v>19</v>
      </c>
      <c r="O290" s="9"/>
      <c r="P290" s="9"/>
      <c r="Q290" s="9"/>
      <c r="R290" s="10" t="str">
        <f>IFERROR(__xludf.DUMMYFUNCTION("""COMPUTED_VALUE"""),"K")</f>
        <v>K</v>
      </c>
      <c r="S290" s="9"/>
    </row>
    <row r="291" ht="22.5" customHeight="1">
      <c r="A291" s="6">
        <v>290.0</v>
      </c>
      <c r="B291" s="9" t="str">
        <f>IFERROR(__xludf.DUMMYFUNCTION("""COMPUTED_VALUE"""),"Desainer Grafis Muda")</f>
        <v>Desainer Grafis Muda</v>
      </c>
      <c r="C291" s="9" t="str">
        <f>IFERROR(__xludf.DUMMYFUNCTION("""COMPUTED_VALUE"""),"SMK Negeri 6 Kendari")</f>
        <v>SMK Negeri 6 Kendari</v>
      </c>
      <c r="D291" s="9"/>
      <c r="E291" s="9"/>
      <c r="F291" s="9" t="str">
        <f>IFERROR(__xludf.DUMMYFUNCTION("""COMPUTED_VALUE"""),"Isal Saputra Jaya")</f>
        <v>Isal Saputra Jaya</v>
      </c>
      <c r="G291" s="9" t="str">
        <f>IFERROR(__xludf.DUMMYFUNCTION("""COMPUTED_VALUE"""),"7405070904080001")</f>
        <v>7405070904080001</v>
      </c>
      <c r="H291" s="9"/>
      <c r="I291" s="9"/>
      <c r="J291" s="10" t="str">
        <f>IFERROR(__xludf.DUMMYFUNCTION("""COMPUTED_VALUE"""),"LAKI-LAKI")</f>
        <v>LAKI-LAKI</v>
      </c>
      <c r="K291" s="9" t="str">
        <f>IFERROR(__xludf.DUMMYFUNCTION("""COMPUTED_VALUE"""),"Nanga-nanga")</f>
        <v>Nanga-nanga</v>
      </c>
      <c r="L291" s="9"/>
      <c r="M291" s="9"/>
      <c r="N291" s="8" t="s">
        <v>19</v>
      </c>
      <c r="O291" s="9"/>
      <c r="P291" s="9"/>
      <c r="Q291" s="9"/>
      <c r="R291" s="10" t="str">
        <f>IFERROR(__xludf.DUMMYFUNCTION("""COMPUTED_VALUE"""),"K")</f>
        <v>K</v>
      </c>
      <c r="S291" s="9"/>
    </row>
    <row r="292" ht="22.5" customHeight="1">
      <c r="A292" s="6">
        <v>291.0</v>
      </c>
      <c r="B292" s="9" t="str">
        <f>IFERROR(__xludf.DUMMYFUNCTION("""COMPUTED_VALUE"""),"Desainer Grafis Muda")</f>
        <v>Desainer Grafis Muda</v>
      </c>
      <c r="C292" s="9" t="str">
        <f>IFERROR(__xludf.DUMMYFUNCTION("""COMPUTED_VALUE"""),"SMK Negeri 6 Kendari")</f>
        <v>SMK Negeri 6 Kendari</v>
      </c>
      <c r="D292" s="9"/>
      <c r="E292" s="9"/>
      <c r="F292" s="9" t="str">
        <f>IFERROR(__xludf.DUMMYFUNCTION("""COMPUTED_VALUE"""),"Juniarsi Amelia Abas")</f>
        <v>Juniarsi Amelia Abas</v>
      </c>
      <c r="G292" s="9" t="str">
        <f>IFERROR(__xludf.DUMMYFUNCTION("""COMPUTED_VALUE"""),"7471085206880001")</f>
        <v>7471085206880001</v>
      </c>
      <c r="H292" s="9"/>
      <c r="I292" s="9"/>
      <c r="J292" s="10" t="str">
        <f>IFERROR(__xludf.DUMMYFUNCTION("""COMPUTED_VALUE"""),"PEREMPUAN")</f>
        <v>PEREMPUAN</v>
      </c>
      <c r="K292" s="9" t="str">
        <f>IFERROR(__xludf.DUMMYFUNCTION("""COMPUTED_VALUE"""),"Jl. Bunga Duri IV")</f>
        <v>Jl. Bunga Duri IV</v>
      </c>
      <c r="L292" s="9"/>
      <c r="M292" s="9"/>
      <c r="N292" s="8" t="s">
        <v>19</v>
      </c>
      <c r="O292" s="9"/>
      <c r="P292" s="9"/>
      <c r="Q292" s="9"/>
      <c r="R292" s="10" t="str">
        <f>IFERROR(__xludf.DUMMYFUNCTION("""COMPUTED_VALUE"""),"K")</f>
        <v>K</v>
      </c>
      <c r="S292" s="9"/>
    </row>
    <row r="293" ht="22.5" customHeight="1">
      <c r="A293" s="6">
        <v>292.0</v>
      </c>
      <c r="B293" s="9" t="str">
        <f>IFERROR(__xludf.DUMMYFUNCTION("""COMPUTED_VALUE"""),"Desainer Grafis Muda")</f>
        <v>Desainer Grafis Muda</v>
      </c>
      <c r="C293" s="9" t="str">
        <f>IFERROR(__xludf.DUMMYFUNCTION("""COMPUTED_VALUE"""),"SMK Negeri 6 Kendari")</f>
        <v>SMK Negeri 6 Kendari</v>
      </c>
      <c r="D293" s="9"/>
      <c r="E293" s="9"/>
      <c r="F293" s="11" t="str">
        <f>IFERROR(__xludf.DUMMYFUNCTION("""COMPUTED_VALUE"""),"Firawati Asrul")</f>
        <v>Firawati Asrul</v>
      </c>
      <c r="G293" s="9" t="str">
        <f>IFERROR(__xludf.DUMMYFUNCTION("""COMPUTED_VALUE"""),"7471056102810002")</f>
        <v>7471056102810002</v>
      </c>
      <c r="H293" s="9"/>
      <c r="I293" s="9"/>
      <c r="J293" s="10" t="str">
        <f>IFERROR(__xludf.DUMMYFUNCTION("""COMPUTED_VALUE"""),"PEREMPUAN")</f>
        <v>PEREMPUAN</v>
      </c>
      <c r="K293" s="9" t="str">
        <f>IFERROR(__xludf.DUMMYFUNCTION("""COMPUTED_VALUE"""),"Jl. Boulevard BTN Griya Darussalam Blok A/10")</f>
        <v>Jl. Boulevard BTN Griya Darussalam Blok A/10</v>
      </c>
      <c r="L293" s="9"/>
      <c r="M293" s="9"/>
      <c r="N293" s="8" t="s">
        <v>19</v>
      </c>
      <c r="O293" s="9"/>
      <c r="P293" s="9"/>
      <c r="Q293" s="9"/>
      <c r="R293" s="10" t="str">
        <f>IFERROR(__xludf.DUMMYFUNCTION("""COMPUTED_VALUE"""),"K")</f>
        <v>K</v>
      </c>
      <c r="S293" s="9"/>
    </row>
    <row r="294" ht="22.5" customHeight="1">
      <c r="A294" s="6">
        <v>293.0</v>
      </c>
      <c r="B294" s="9" t="str">
        <f>IFERROR(__xludf.DUMMYFUNCTION("""COMPUTED_VALUE"""),"Desainer Grafis Muda")</f>
        <v>Desainer Grafis Muda</v>
      </c>
      <c r="C294" s="9" t="str">
        <f>IFERROR(__xludf.DUMMYFUNCTION("""COMPUTED_VALUE"""),"SMK Negeri 6 Kendari")</f>
        <v>SMK Negeri 6 Kendari</v>
      </c>
      <c r="D294" s="9"/>
      <c r="E294" s="9"/>
      <c r="F294" s="9" t="str">
        <f>IFERROR(__xludf.DUMMYFUNCTION("""COMPUTED_VALUE"""),"Dian Avrilya")</f>
        <v>Dian Avrilya</v>
      </c>
      <c r="G294" s="9" t="str">
        <f>IFERROR(__xludf.DUMMYFUNCTION("""COMPUTED_VALUE"""),"7403054912070002")</f>
        <v>7403054912070002</v>
      </c>
      <c r="H294" s="9"/>
      <c r="I294" s="9"/>
      <c r="J294" s="10" t="str">
        <f>IFERROR(__xludf.DUMMYFUNCTION("""COMPUTED_VALUE"""),"PEREMPUAN")</f>
        <v>PEREMPUAN</v>
      </c>
      <c r="K294" s="9" t="str">
        <f>IFERROR(__xludf.DUMMYFUNCTION("""COMPUTED_VALUE"""),"Jl. Hj. Lamuse, Lrg. Murini")</f>
        <v>Jl. Hj. Lamuse, Lrg. Murini</v>
      </c>
      <c r="L294" s="9"/>
      <c r="M294" s="9"/>
      <c r="N294" s="8" t="s">
        <v>19</v>
      </c>
      <c r="O294" s="9"/>
      <c r="P294" s="9"/>
      <c r="Q294" s="9"/>
      <c r="R294" s="10" t="str">
        <f>IFERROR(__xludf.DUMMYFUNCTION("""COMPUTED_VALUE"""),"K")</f>
        <v>K</v>
      </c>
      <c r="S294" s="9"/>
    </row>
    <row r="295" ht="22.5" customHeight="1">
      <c r="A295" s="6">
        <v>294.0</v>
      </c>
      <c r="B295" s="9" t="str">
        <f>IFERROR(__xludf.DUMMYFUNCTION("""COMPUTED_VALUE"""),"Pemasangan Pembangkit Listrik Tenaga Surya Off-Grid")</f>
        <v>Pemasangan Pembangkit Listrik Tenaga Surya Off-Grid</v>
      </c>
      <c r="C295" s="9" t="str">
        <f>IFERROR(__xludf.DUMMYFUNCTION("""COMPUTED_VALUE"""),"SMK Negeri 6 Kendari")</f>
        <v>SMK Negeri 6 Kendari</v>
      </c>
      <c r="D295" s="9"/>
      <c r="E295" s="9"/>
      <c r="F295" s="9" t="str">
        <f>IFERROR(__xludf.DUMMYFUNCTION("""COMPUTED_VALUE"""),"Ahmad Yusril")</f>
        <v>Ahmad Yusril</v>
      </c>
      <c r="G295" s="9" t="str">
        <f>IFERROR(__xludf.DUMMYFUNCTION("""COMPUTED_VALUE"""),"7403352305070001")</f>
        <v>7403352305070001</v>
      </c>
      <c r="H295" s="9"/>
      <c r="I295" s="9"/>
      <c r="J295" s="10" t="str">
        <f>IFERROR(__xludf.DUMMYFUNCTION("""COMPUTED_VALUE"""),"LAKI-LAKI")</f>
        <v>LAKI-LAKI</v>
      </c>
      <c r="K295" s="9" t="str">
        <f>IFERROR(__xludf.DUMMYFUNCTION("""COMPUTED_VALUE"""),"Nanga nanga, lr merica")</f>
        <v>Nanga nanga, lr merica</v>
      </c>
      <c r="L295" s="9"/>
      <c r="M295" s="9"/>
      <c r="N295" s="8" t="s">
        <v>19</v>
      </c>
      <c r="O295" s="9"/>
      <c r="P295" s="9"/>
      <c r="Q295" s="9"/>
      <c r="R295" s="10" t="str">
        <f>IFERROR(__xludf.DUMMYFUNCTION("""COMPUTED_VALUE"""),"K")</f>
        <v>K</v>
      </c>
      <c r="S295" s="9"/>
    </row>
    <row r="296" ht="22.5" customHeight="1">
      <c r="A296" s="6">
        <v>295.0</v>
      </c>
      <c r="B296" s="9" t="str">
        <f>IFERROR(__xludf.DUMMYFUNCTION("""COMPUTED_VALUE"""),"Pemasangan Pembangkit Listrik Tenaga Surya Off-Grid")</f>
        <v>Pemasangan Pembangkit Listrik Tenaga Surya Off-Grid</v>
      </c>
      <c r="C296" s="9" t="str">
        <f>IFERROR(__xludf.DUMMYFUNCTION("""COMPUTED_VALUE"""),"SMK Negeri 6 Kendari")</f>
        <v>SMK Negeri 6 Kendari</v>
      </c>
      <c r="D296" s="9"/>
      <c r="E296" s="9"/>
      <c r="F296" s="9" t="str">
        <f>IFERROR(__xludf.DUMMYFUNCTION("""COMPUTED_VALUE"""),"Ardan M.H")</f>
        <v>Ardan M.H</v>
      </c>
      <c r="G296" s="9" t="str">
        <f>IFERROR(__xludf.DUMMYFUNCTION("""COMPUTED_VALUE"""),"7403210107070205")</f>
        <v>7403210107070205</v>
      </c>
      <c r="H296" s="9"/>
      <c r="I296" s="9"/>
      <c r="J296" s="10" t="str">
        <f>IFERROR(__xludf.DUMMYFUNCTION("""COMPUTED_VALUE"""),"LAKI-LAKI")</f>
        <v>LAKI-LAKI</v>
      </c>
      <c r="K296" s="9" t="str">
        <f>IFERROR(__xludf.DUMMYFUNCTION("""COMPUTED_VALUE"""),"BTN Margahayu Land Baruga")</f>
        <v>BTN Margahayu Land Baruga</v>
      </c>
      <c r="L296" s="9"/>
      <c r="M296" s="9"/>
      <c r="N296" s="8" t="s">
        <v>19</v>
      </c>
      <c r="O296" s="9"/>
      <c r="P296" s="9"/>
      <c r="Q296" s="9"/>
      <c r="R296" s="10" t="str">
        <f>IFERROR(__xludf.DUMMYFUNCTION("""COMPUTED_VALUE"""),"K")</f>
        <v>K</v>
      </c>
      <c r="S296" s="9"/>
    </row>
    <row r="297" ht="22.5" customHeight="1">
      <c r="A297" s="6">
        <v>296.0</v>
      </c>
      <c r="B297" s="9" t="str">
        <f>IFERROR(__xludf.DUMMYFUNCTION("""COMPUTED_VALUE"""),"Pemasangan Pembangkit Listrik Tenaga Surya Off-Grid")</f>
        <v>Pemasangan Pembangkit Listrik Tenaga Surya Off-Grid</v>
      </c>
      <c r="C297" s="9" t="str">
        <f>IFERROR(__xludf.DUMMYFUNCTION("""COMPUTED_VALUE"""),"SMK Negeri 6 Kendari")</f>
        <v>SMK Negeri 6 Kendari</v>
      </c>
      <c r="D297" s="9"/>
      <c r="E297" s="9"/>
      <c r="F297" s="9" t="str">
        <f>IFERROR(__xludf.DUMMYFUNCTION("""COMPUTED_VALUE"""),"Aril")</f>
        <v>Aril</v>
      </c>
      <c r="G297" s="9" t="str">
        <f>IFERROR(__xludf.DUMMYFUNCTION("""COMPUTED_VALUE"""),"7403311307070901")</f>
        <v>7403311307070901</v>
      </c>
      <c r="H297" s="9"/>
      <c r="I297" s="9"/>
      <c r="J297" s="10" t="str">
        <f>IFERROR(__xludf.DUMMYFUNCTION("""COMPUTED_VALUE"""),"LAKI-LAKI")</f>
        <v>LAKI-LAKI</v>
      </c>
      <c r="K297" s="9" t="str">
        <f>IFERROR(__xludf.DUMMYFUNCTION("""COMPUTED_VALUE"""),"BTN Margahayu Land Baruga")</f>
        <v>BTN Margahayu Land Baruga</v>
      </c>
      <c r="L297" s="9"/>
      <c r="M297" s="9"/>
      <c r="N297" s="8" t="s">
        <v>19</v>
      </c>
      <c r="O297" s="9"/>
      <c r="P297" s="9"/>
      <c r="Q297" s="9"/>
      <c r="R297" s="10" t="str">
        <f>IFERROR(__xludf.DUMMYFUNCTION("""COMPUTED_VALUE"""),"K")</f>
        <v>K</v>
      </c>
      <c r="S297" s="9"/>
    </row>
    <row r="298" ht="22.5" customHeight="1">
      <c r="A298" s="6">
        <v>297.0</v>
      </c>
      <c r="B298" s="9" t="str">
        <f>IFERROR(__xludf.DUMMYFUNCTION("""COMPUTED_VALUE"""),"Pemasangan Pembangkit Listrik Tenaga Surya Off-Grid")</f>
        <v>Pemasangan Pembangkit Listrik Tenaga Surya Off-Grid</v>
      </c>
      <c r="C298" s="9" t="str">
        <f>IFERROR(__xludf.DUMMYFUNCTION("""COMPUTED_VALUE"""),"SMK Negeri 6 Kendari")</f>
        <v>SMK Negeri 6 Kendari</v>
      </c>
      <c r="D298" s="9"/>
      <c r="E298" s="9"/>
      <c r="F298" s="9" t="str">
        <f>IFERROR(__xludf.DUMMYFUNCTION("""COMPUTED_VALUE"""),"David Devriansyah S")</f>
        <v>David Devriansyah S</v>
      </c>
      <c r="G298" s="9" t="str">
        <f>IFERROR(__xludf.DUMMYFUNCTION("""COMPUTED_VALUE"""),"7405081612070004")</f>
        <v>7405081612070004</v>
      </c>
      <c r="H298" s="9"/>
      <c r="I298" s="9"/>
      <c r="J298" s="10" t="str">
        <f>IFERROR(__xludf.DUMMYFUNCTION("""COMPUTED_VALUE"""),"LAKI-LAKI")</f>
        <v>LAKI-LAKI</v>
      </c>
      <c r="K298" s="9" t="str">
        <f>IFERROR(__xludf.DUMMYFUNCTION("""COMPUTED_VALUE"""),"BTN Maleo 1 Ranomeeto Blok U No. 4")</f>
        <v>BTN Maleo 1 Ranomeeto Blok U No. 4</v>
      </c>
      <c r="L298" s="9"/>
      <c r="M298" s="9"/>
      <c r="N298" s="8" t="s">
        <v>19</v>
      </c>
      <c r="O298" s="9"/>
      <c r="P298" s="9"/>
      <c r="Q298" s="9"/>
      <c r="R298" s="10" t="str">
        <f>IFERROR(__xludf.DUMMYFUNCTION("""COMPUTED_VALUE"""),"K")</f>
        <v>K</v>
      </c>
      <c r="S298" s="9"/>
    </row>
    <row r="299" ht="22.5" customHeight="1">
      <c r="A299" s="6">
        <v>298.0</v>
      </c>
      <c r="B299" s="9" t="str">
        <f>IFERROR(__xludf.DUMMYFUNCTION("""COMPUTED_VALUE"""),"Pemasangan Pembangkit Listrik Tenaga Surya Off-Grid")</f>
        <v>Pemasangan Pembangkit Listrik Tenaga Surya Off-Grid</v>
      </c>
      <c r="C299" s="9" t="str">
        <f>IFERROR(__xludf.DUMMYFUNCTION("""COMPUTED_VALUE"""),"SMK Negeri 6 Kendari")</f>
        <v>SMK Negeri 6 Kendari</v>
      </c>
      <c r="D299" s="9"/>
      <c r="E299" s="9"/>
      <c r="F299" s="9" t="str">
        <f>IFERROR(__xludf.DUMMYFUNCTION("""COMPUTED_VALUE"""),"Gindra Apriadin")</f>
        <v>Gindra Apriadin</v>
      </c>
      <c r="G299" s="9" t="str">
        <f>IFERROR(__xludf.DUMMYFUNCTION("""COMPUTED_VALUE"""),"7405050212080001")</f>
        <v>7405050212080001</v>
      </c>
      <c r="H299" s="9"/>
      <c r="I299" s="9"/>
      <c r="J299" s="10" t="str">
        <f>IFERROR(__xludf.DUMMYFUNCTION("""COMPUTED_VALUE"""),"LAKI-LAKI")</f>
        <v>LAKI-LAKI</v>
      </c>
      <c r="K299" s="9" t="str">
        <f>IFERROR(__xludf.DUMMYFUNCTION("""COMPUTED_VALUE"""),"Desa Lalowaru, Kec. Ranomeeto")</f>
        <v>Desa Lalowaru, Kec. Ranomeeto</v>
      </c>
      <c r="L299" s="9"/>
      <c r="M299" s="9"/>
      <c r="N299" s="8" t="s">
        <v>19</v>
      </c>
      <c r="O299" s="9"/>
      <c r="P299" s="9"/>
      <c r="Q299" s="9"/>
      <c r="R299" s="10" t="str">
        <f>IFERROR(__xludf.DUMMYFUNCTION("""COMPUTED_VALUE"""),"K")</f>
        <v>K</v>
      </c>
      <c r="S299" s="9"/>
    </row>
    <row r="300" ht="22.5" customHeight="1">
      <c r="A300" s="6">
        <v>299.0</v>
      </c>
      <c r="B300" s="9" t="str">
        <f>IFERROR(__xludf.DUMMYFUNCTION("""COMPUTED_VALUE"""),"Pemasangan Pembangkit Listrik Tenaga Surya Off-Grid")</f>
        <v>Pemasangan Pembangkit Listrik Tenaga Surya Off-Grid</v>
      </c>
      <c r="C300" s="9" t="str">
        <f>IFERROR(__xludf.DUMMYFUNCTION("""COMPUTED_VALUE"""),"SMK Negeri 6 Kendari")</f>
        <v>SMK Negeri 6 Kendari</v>
      </c>
      <c r="D300" s="9"/>
      <c r="E300" s="9"/>
      <c r="F300" s="9" t="str">
        <f>IFERROR(__xludf.DUMMYFUNCTION("""COMPUTED_VALUE"""),"Hardin")</f>
        <v>Hardin</v>
      </c>
      <c r="G300" s="9" t="str">
        <f>IFERROR(__xludf.DUMMYFUNCTION("""COMPUTED_VALUE"""),"7471061604050001")</f>
        <v>7471061604050001</v>
      </c>
      <c r="H300" s="9"/>
      <c r="I300" s="9"/>
      <c r="J300" s="10" t="str">
        <f>IFERROR(__xludf.DUMMYFUNCTION("""COMPUTED_VALUE"""),"LAKI-LAKI")</f>
        <v>LAKI-LAKI</v>
      </c>
      <c r="K300" s="9" t="str">
        <f>IFERROR(__xludf.DUMMYFUNCTION("""COMPUTED_VALUE"""),"Jl. Wedahu RT 01 RW 01")</f>
        <v>Jl. Wedahu RT 01 RW 01</v>
      </c>
      <c r="L300" s="9"/>
      <c r="M300" s="9"/>
      <c r="N300" s="8" t="s">
        <v>19</v>
      </c>
      <c r="O300" s="9"/>
      <c r="P300" s="9"/>
      <c r="Q300" s="9"/>
      <c r="R300" s="10" t="str">
        <f>IFERROR(__xludf.DUMMYFUNCTION("""COMPUTED_VALUE"""),"K")</f>
        <v>K</v>
      </c>
      <c r="S300" s="9"/>
    </row>
    <row r="301" ht="22.5" customHeight="1">
      <c r="A301" s="6">
        <v>300.0</v>
      </c>
      <c r="B301" s="9" t="str">
        <f>IFERROR(__xludf.DUMMYFUNCTION("""COMPUTED_VALUE"""),"Pemasangan Pembangkit Listrik Tenaga Surya Off-Grid")</f>
        <v>Pemasangan Pembangkit Listrik Tenaga Surya Off-Grid</v>
      </c>
      <c r="C301" s="9" t="str">
        <f>IFERROR(__xludf.DUMMYFUNCTION("""COMPUTED_VALUE"""),"SMK Negeri 6 Kendari")</f>
        <v>SMK Negeri 6 Kendari</v>
      </c>
      <c r="D301" s="9"/>
      <c r="E301" s="9"/>
      <c r="F301" s="9" t="str">
        <f>IFERROR(__xludf.DUMMYFUNCTION("""COMPUTED_VALUE"""),"Ikhsan")</f>
        <v>Ikhsan</v>
      </c>
      <c r="G301" s="9" t="str">
        <f>IFERROR(__xludf.DUMMYFUNCTION("""COMPUTED_VALUE"""),"7471082805080002")</f>
        <v>7471082805080002</v>
      </c>
      <c r="H301" s="9"/>
      <c r="I301" s="9"/>
      <c r="J301" s="10" t="str">
        <f>IFERROR(__xludf.DUMMYFUNCTION("""COMPUTED_VALUE"""),"LAKI-LAKI")</f>
        <v>LAKI-LAKI</v>
      </c>
      <c r="K301" s="9" t="str">
        <f>IFERROR(__xludf.DUMMYFUNCTION("""COMPUTED_VALUE"""),"Jln. La Ode Hadi (Lorong Veteran)")</f>
        <v>Jln. La Ode Hadi (Lorong Veteran)</v>
      </c>
      <c r="L301" s="9"/>
      <c r="M301" s="9"/>
      <c r="N301" s="8" t="s">
        <v>19</v>
      </c>
      <c r="O301" s="9"/>
      <c r="P301" s="9"/>
      <c r="Q301" s="9"/>
      <c r="R301" s="10" t="str">
        <f>IFERROR(__xludf.DUMMYFUNCTION("""COMPUTED_VALUE"""),"K")</f>
        <v>K</v>
      </c>
      <c r="S301" s="9"/>
    </row>
    <row r="302" ht="22.5" customHeight="1">
      <c r="A302" s="6">
        <v>301.0</v>
      </c>
      <c r="B302" s="9" t="str">
        <f>IFERROR(__xludf.DUMMYFUNCTION("""COMPUTED_VALUE"""),"Pemasangan Pembangkit Listrik Tenaga Surya Off-Grid")</f>
        <v>Pemasangan Pembangkit Listrik Tenaga Surya Off-Grid</v>
      </c>
      <c r="C302" s="9" t="str">
        <f>IFERROR(__xludf.DUMMYFUNCTION("""COMPUTED_VALUE"""),"SMK Negeri 6 Kendari")</f>
        <v>SMK Negeri 6 Kendari</v>
      </c>
      <c r="D302" s="9"/>
      <c r="E302" s="9"/>
      <c r="F302" s="9" t="str">
        <f>IFERROR(__xludf.DUMMYFUNCTION("""COMPUTED_VALUE"""),"La Ode Lefi Muktian")</f>
        <v>La Ode Lefi Muktian</v>
      </c>
      <c r="G302" s="9" t="str">
        <f>IFERROR(__xludf.DUMMYFUNCTION("""COMPUTED_VALUE"""),"7403232802080001")</f>
        <v>7403232802080001</v>
      </c>
      <c r="H302" s="9"/>
      <c r="I302" s="9"/>
      <c r="J302" s="10" t="str">
        <f>IFERROR(__xludf.DUMMYFUNCTION("""COMPUTED_VALUE"""),"LAKI-LAKI")</f>
        <v>LAKI-LAKI</v>
      </c>
      <c r="K302" s="9" t="str">
        <f>IFERROR(__xludf.DUMMYFUNCTION("""COMPUTED_VALUE"""),"lorong BSB")</f>
        <v>lorong BSB</v>
      </c>
      <c r="L302" s="9"/>
      <c r="M302" s="9"/>
      <c r="N302" s="8" t="s">
        <v>19</v>
      </c>
      <c r="O302" s="9"/>
      <c r="P302" s="9"/>
      <c r="Q302" s="9"/>
      <c r="R302" s="10" t="str">
        <f>IFERROR(__xludf.DUMMYFUNCTION("""COMPUTED_VALUE"""),"K")</f>
        <v>K</v>
      </c>
      <c r="S302" s="9"/>
    </row>
    <row r="303" ht="22.5" customHeight="1">
      <c r="A303" s="6">
        <v>302.0</v>
      </c>
      <c r="B303" s="9" t="str">
        <f>IFERROR(__xludf.DUMMYFUNCTION("""COMPUTED_VALUE"""),"Pemasangan Pembangkit Listrik Tenaga Surya Off-Grid")</f>
        <v>Pemasangan Pembangkit Listrik Tenaga Surya Off-Grid</v>
      </c>
      <c r="C303" s="9" t="str">
        <f>IFERROR(__xludf.DUMMYFUNCTION("""COMPUTED_VALUE"""),"SMK Negeri 6 Kendari")</f>
        <v>SMK Negeri 6 Kendari</v>
      </c>
      <c r="D303" s="9"/>
      <c r="E303" s="9"/>
      <c r="F303" s="9" t="str">
        <f>IFERROR(__xludf.DUMMYFUNCTION("""COMPUTED_VALUE"""),"Marvel Rafahmi")</f>
        <v>Marvel Rafahmi</v>
      </c>
      <c r="G303" s="9" t="str">
        <f>IFERROR(__xludf.DUMMYFUNCTION("""COMPUTED_VALUE"""),"7403272609080001")</f>
        <v>7403272609080001</v>
      </c>
      <c r="H303" s="9"/>
      <c r="I303" s="9"/>
      <c r="J303" s="10" t="str">
        <f>IFERROR(__xludf.DUMMYFUNCTION("""COMPUTED_VALUE"""),"LAKI-LAKI")</f>
        <v>LAKI-LAKI</v>
      </c>
      <c r="K303" s="9" t="str">
        <f>IFERROR(__xludf.DUMMYFUNCTION("""COMPUTED_VALUE"""),"Andonohu")</f>
        <v>Andonohu</v>
      </c>
      <c r="L303" s="9"/>
      <c r="M303" s="9"/>
      <c r="N303" s="8" t="s">
        <v>19</v>
      </c>
      <c r="O303" s="9"/>
      <c r="P303" s="9"/>
      <c r="Q303" s="9"/>
      <c r="R303" s="10" t="str">
        <f>IFERROR(__xludf.DUMMYFUNCTION("""COMPUTED_VALUE"""),"K")</f>
        <v>K</v>
      </c>
      <c r="S303" s="9"/>
    </row>
    <row r="304" ht="22.5" customHeight="1">
      <c r="A304" s="6">
        <v>303.0</v>
      </c>
      <c r="B304" s="9" t="str">
        <f>IFERROR(__xludf.DUMMYFUNCTION("""COMPUTED_VALUE"""),"Pemasangan Pembangkit Listrik Tenaga Surya Off-Grid")</f>
        <v>Pemasangan Pembangkit Listrik Tenaga Surya Off-Grid</v>
      </c>
      <c r="C304" s="9" t="str">
        <f>IFERROR(__xludf.DUMMYFUNCTION("""COMPUTED_VALUE"""),"SMK Negeri 6 Kendari")</f>
        <v>SMK Negeri 6 Kendari</v>
      </c>
      <c r="D304" s="9"/>
      <c r="E304" s="9"/>
      <c r="F304" s="9" t="str">
        <f>IFERROR(__xludf.DUMMYFUNCTION("""COMPUTED_VALUE"""),"Mikael Rafahmi")</f>
        <v>Mikael Rafahmi</v>
      </c>
      <c r="G304" s="9" t="str">
        <f>IFERROR(__xludf.DUMMYFUNCTION("""COMPUTED_VALUE"""),"7403222508060201")</f>
        <v>7403222508060201</v>
      </c>
      <c r="H304" s="9"/>
      <c r="I304" s="9"/>
      <c r="J304" s="10" t="str">
        <f>IFERROR(__xludf.DUMMYFUNCTION("""COMPUTED_VALUE"""),"LAKI-LAKI")</f>
        <v>LAKI-LAKI</v>
      </c>
      <c r="K304" s="9" t="str">
        <f>IFERROR(__xludf.DUMMYFUNCTION("""COMPUTED_VALUE"""),"Andonohu")</f>
        <v>Andonohu</v>
      </c>
      <c r="L304" s="9"/>
      <c r="M304" s="9"/>
      <c r="N304" s="8" t="s">
        <v>19</v>
      </c>
      <c r="O304" s="9"/>
      <c r="P304" s="9"/>
      <c r="Q304" s="9"/>
      <c r="R304" s="10" t="str">
        <f>IFERROR(__xludf.DUMMYFUNCTION("""COMPUTED_VALUE"""),"K")</f>
        <v>K</v>
      </c>
      <c r="S304" s="9"/>
    </row>
    <row r="305" ht="22.5" customHeight="1">
      <c r="A305" s="6">
        <v>304.0</v>
      </c>
      <c r="B305" s="9" t="str">
        <f>IFERROR(__xludf.DUMMYFUNCTION("""COMPUTED_VALUE"""),"Pemasangan Pembangkit Listrik Tenaga Surya Off-Grid")</f>
        <v>Pemasangan Pembangkit Listrik Tenaga Surya Off-Grid</v>
      </c>
      <c r="C305" s="9" t="str">
        <f>IFERROR(__xludf.DUMMYFUNCTION("""COMPUTED_VALUE"""),"SMK Negeri 6 Kendari")</f>
        <v>SMK Negeri 6 Kendari</v>
      </c>
      <c r="D305" s="9"/>
      <c r="E305" s="9"/>
      <c r="F305" s="9" t="str">
        <f>IFERROR(__xludf.DUMMYFUNCTION("""COMPUTED_VALUE"""),"Muh. Fabil Azhar")</f>
        <v>Muh. Fabil Azhar</v>
      </c>
      <c r="G305" s="9" t="str">
        <f>IFERROR(__xludf.DUMMYFUNCTION("""COMPUTED_VALUE"""),"7471052303070002")</f>
        <v>7471052303070002</v>
      </c>
      <c r="H305" s="9"/>
      <c r="I305" s="9"/>
      <c r="J305" s="10" t="str">
        <f>IFERROR(__xludf.DUMMYFUNCTION("""COMPUTED_VALUE"""),"LAKI-LAKI")</f>
        <v>LAKI-LAKI</v>
      </c>
      <c r="K305" s="9" t="str">
        <f>IFERROR(__xludf.DUMMYFUNCTION("""COMPUTED_VALUE"""),"BTN PNS, Kota Kendari")</f>
        <v>BTN PNS, Kota Kendari</v>
      </c>
      <c r="L305" s="9"/>
      <c r="M305" s="9"/>
      <c r="N305" s="8" t="s">
        <v>19</v>
      </c>
      <c r="O305" s="9"/>
      <c r="P305" s="9"/>
      <c r="Q305" s="9"/>
      <c r="R305" s="10" t="str">
        <f>IFERROR(__xludf.DUMMYFUNCTION("""COMPUTED_VALUE"""),"BK")</f>
        <v>BK</v>
      </c>
      <c r="S305" s="9"/>
    </row>
    <row r="306" ht="22.5" customHeight="1">
      <c r="A306" s="6">
        <v>305.0</v>
      </c>
      <c r="B306" s="9" t="str">
        <f>IFERROR(__xludf.DUMMYFUNCTION("""COMPUTED_VALUE"""),"Pemasangan Pembangkit Listrik Tenaga Surya Off-Grid")</f>
        <v>Pemasangan Pembangkit Listrik Tenaga Surya Off-Grid</v>
      </c>
      <c r="C306" s="9" t="str">
        <f>IFERROR(__xludf.DUMMYFUNCTION("""COMPUTED_VALUE"""),"SMK Negeri 6 Kendari")</f>
        <v>SMK Negeri 6 Kendari</v>
      </c>
      <c r="D306" s="9"/>
      <c r="E306" s="9"/>
      <c r="F306" s="9" t="str">
        <f>IFERROR(__xludf.DUMMYFUNCTION("""COMPUTED_VALUE"""),"Muh. Ibrahim Nurdiyansyah")</f>
        <v>Muh. Ibrahim Nurdiyansyah</v>
      </c>
      <c r="G306" s="9" t="str">
        <f>IFERROR(__xludf.DUMMYFUNCTION("""COMPUTED_VALUE"""),"7471071106080001")</f>
        <v>7471071106080001</v>
      </c>
      <c r="H306" s="9"/>
      <c r="I306" s="9"/>
      <c r="J306" s="10" t="str">
        <f>IFERROR(__xludf.DUMMYFUNCTION("""COMPUTED_VALUE"""),"LAKI-LAKI")</f>
        <v>LAKI-LAKI</v>
      </c>
      <c r="K306" s="9" t="str">
        <f>IFERROR(__xludf.DUMMYFUNCTION("""COMPUTED_VALUE"""),"jl. Kamboja Kel. Ranometo")</f>
        <v>jl. Kamboja Kel. Ranometo</v>
      </c>
      <c r="L306" s="9"/>
      <c r="M306" s="9"/>
      <c r="N306" s="8" t="s">
        <v>19</v>
      </c>
      <c r="O306" s="9"/>
      <c r="P306" s="9"/>
      <c r="Q306" s="9"/>
      <c r="R306" s="10" t="str">
        <f>IFERROR(__xludf.DUMMYFUNCTION("""COMPUTED_VALUE"""),"K")</f>
        <v>K</v>
      </c>
      <c r="S306" s="9"/>
    </row>
    <row r="307" ht="22.5" customHeight="1">
      <c r="A307" s="6">
        <v>306.0</v>
      </c>
      <c r="B307" s="9" t="str">
        <f>IFERROR(__xludf.DUMMYFUNCTION("""COMPUTED_VALUE"""),"Pemasangan Pembangkit Listrik Tenaga Surya Off-Grid")</f>
        <v>Pemasangan Pembangkit Listrik Tenaga Surya Off-Grid</v>
      </c>
      <c r="C307" s="9" t="str">
        <f>IFERROR(__xludf.DUMMYFUNCTION("""COMPUTED_VALUE"""),"SMK Negeri 6 Kendari")</f>
        <v>SMK Negeri 6 Kendari</v>
      </c>
      <c r="D307" s="9"/>
      <c r="E307" s="9"/>
      <c r="F307" s="9" t="str">
        <f>IFERROR(__xludf.DUMMYFUNCTION("""COMPUTED_VALUE"""),"Muh. Rafli Jaya Putra")</f>
        <v>Muh. Rafli Jaya Putra</v>
      </c>
      <c r="G307" s="9" t="str">
        <f>IFERROR(__xludf.DUMMYFUNCTION("""COMPUTED_VALUE"""),"7471042810070003")</f>
        <v>7471042810070003</v>
      </c>
      <c r="H307" s="9"/>
      <c r="I307" s="9"/>
      <c r="J307" s="10" t="str">
        <f>IFERROR(__xludf.DUMMYFUNCTION("""COMPUTED_VALUE"""),"LAKI-LAKI")</f>
        <v>LAKI-LAKI</v>
      </c>
      <c r="K307" s="9" t="str">
        <f>IFERROR(__xludf.DUMMYFUNCTION("""COMPUTED_VALUE"""),"Andonohu, BTN Multi Graha")</f>
        <v>Andonohu, BTN Multi Graha</v>
      </c>
      <c r="L307" s="9"/>
      <c r="M307" s="9"/>
      <c r="N307" s="8" t="s">
        <v>19</v>
      </c>
      <c r="O307" s="9"/>
      <c r="P307" s="9"/>
      <c r="Q307" s="9"/>
      <c r="R307" s="10" t="str">
        <f>IFERROR(__xludf.DUMMYFUNCTION("""COMPUTED_VALUE"""),"K")</f>
        <v>K</v>
      </c>
      <c r="S307" s="9"/>
    </row>
    <row r="308" ht="22.5" customHeight="1">
      <c r="A308" s="6">
        <v>307.0</v>
      </c>
      <c r="B308" s="9" t="str">
        <f>IFERROR(__xludf.DUMMYFUNCTION("""COMPUTED_VALUE"""),"Pemasangan Pembangkit Listrik Tenaga Surya Off-Grid")</f>
        <v>Pemasangan Pembangkit Listrik Tenaga Surya Off-Grid</v>
      </c>
      <c r="C308" s="9" t="str">
        <f>IFERROR(__xludf.DUMMYFUNCTION("""COMPUTED_VALUE"""),"SMK Negeri 6 Kendari")</f>
        <v>SMK Negeri 6 Kendari</v>
      </c>
      <c r="D308" s="9"/>
      <c r="E308" s="9"/>
      <c r="F308" s="9" t="str">
        <f>IFERROR(__xludf.DUMMYFUNCTION("""COMPUTED_VALUE"""),"Muh.Jefri")</f>
        <v>Muh.Jefri</v>
      </c>
      <c r="G308" s="9" t="str">
        <f>IFERROR(__xludf.DUMMYFUNCTION("""COMPUTED_VALUE"""),"7401070404080001")</f>
        <v>7401070404080001</v>
      </c>
      <c r="H308" s="9"/>
      <c r="I308" s="9"/>
      <c r="J308" s="10" t="str">
        <f>IFERROR(__xludf.DUMMYFUNCTION("""COMPUTED_VALUE"""),"LAKI-LAKI")</f>
        <v>LAKI-LAKI</v>
      </c>
      <c r="K308" s="9" t="str">
        <f>IFERROR(__xludf.DUMMYFUNCTION("""COMPUTED_VALUE"""),"Ranomeeto BTN Maleo 1")</f>
        <v>Ranomeeto BTN Maleo 1</v>
      </c>
      <c r="L308" s="9"/>
      <c r="M308" s="9"/>
      <c r="N308" s="8" t="s">
        <v>19</v>
      </c>
      <c r="O308" s="9"/>
      <c r="P308" s="9"/>
      <c r="Q308" s="9"/>
      <c r="R308" s="10" t="str">
        <f>IFERROR(__xludf.DUMMYFUNCTION("""COMPUTED_VALUE"""),"BK")</f>
        <v>BK</v>
      </c>
      <c r="S308" s="9"/>
    </row>
    <row r="309" ht="22.5" customHeight="1">
      <c r="A309" s="6">
        <v>308.0</v>
      </c>
      <c r="B309" s="9" t="str">
        <f>IFERROR(__xludf.DUMMYFUNCTION("""COMPUTED_VALUE"""),"Pemasangan Pembangkit Listrik Tenaga Surya Off-Grid")</f>
        <v>Pemasangan Pembangkit Listrik Tenaga Surya Off-Grid</v>
      </c>
      <c r="C309" s="9" t="str">
        <f>IFERROR(__xludf.DUMMYFUNCTION("""COMPUTED_VALUE"""),"SMK Negeri 6 Kendari")</f>
        <v>SMK Negeri 6 Kendari</v>
      </c>
      <c r="D309" s="9"/>
      <c r="E309" s="9"/>
      <c r="F309" s="9" t="str">
        <f>IFERROR(__xludf.DUMMYFUNCTION("""COMPUTED_VALUE"""),"Muhammad Raditya")</f>
        <v>Muhammad Raditya</v>
      </c>
      <c r="G309" s="9" t="str">
        <f>IFERROR(__xludf.DUMMYFUNCTION("""COMPUTED_VALUE"""),"7471080806080001")</f>
        <v>7471080806080001</v>
      </c>
      <c r="H309" s="9"/>
      <c r="I309" s="9"/>
      <c r="J309" s="10" t="str">
        <f>IFERROR(__xludf.DUMMYFUNCTION("""COMPUTED_VALUE"""),"LAKI-LAKI")</f>
        <v>LAKI-LAKI</v>
      </c>
      <c r="K309" s="9" t="str">
        <f>IFERROR(__xludf.DUMMYFUNCTION("""COMPUTED_VALUE"""),"Jl. Salomo, BTN Azka Permai Blok C No 3")</f>
        <v>Jl. Salomo, BTN Azka Permai Blok C No 3</v>
      </c>
      <c r="L309" s="9"/>
      <c r="M309" s="9"/>
      <c r="N309" s="8" t="s">
        <v>19</v>
      </c>
      <c r="O309" s="9"/>
      <c r="P309" s="9"/>
      <c r="Q309" s="9"/>
      <c r="R309" s="10" t="str">
        <f>IFERROR(__xludf.DUMMYFUNCTION("""COMPUTED_VALUE"""),"K")</f>
        <v>K</v>
      </c>
      <c r="S309" s="9"/>
    </row>
    <row r="310" ht="22.5" customHeight="1">
      <c r="A310" s="6">
        <v>309.0</v>
      </c>
      <c r="B310" s="9" t="str">
        <f>IFERROR(__xludf.DUMMYFUNCTION("""COMPUTED_VALUE"""),"Pemasangan Pembangkit Listrik Tenaga Surya Off-Grid")</f>
        <v>Pemasangan Pembangkit Listrik Tenaga Surya Off-Grid</v>
      </c>
      <c r="C310" s="9" t="str">
        <f>IFERROR(__xludf.DUMMYFUNCTION("""COMPUTED_VALUE"""),"SMK Negeri 6 Kendari")</f>
        <v>SMK Negeri 6 Kendari</v>
      </c>
      <c r="D310" s="9"/>
      <c r="E310" s="9"/>
      <c r="F310" s="9" t="str">
        <f>IFERROR(__xludf.DUMMYFUNCTION("""COMPUTED_VALUE"""),"Purnama Catur Putra")</f>
        <v>Purnama Catur Putra</v>
      </c>
      <c r="G310" s="9" t="str">
        <f>IFERROR(__xludf.DUMMYFUNCTION("""COMPUTED_VALUE"""),"7406051706080001")</f>
        <v>7406051706080001</v>
      </c>
      <c r="H310" s="9"/>
      <c r="I310" s="9"/>
      <c r="J310" s="10" t="str">
        <f>IFERROR(__xludf.DUMMYFUNCTION("""COMPUTED_VALUE"""),"LAKI-LAKI")</f>
        <v>LAKI-LAKI</v>
      </c>
      <c r="K310" s="9" t="str">
        <f>IFERROR(__xludf.DUMMYFUNCTION("""COMPUTED_VALUE"""),"BTN Denata Residen")</f>
        <v>BTN Denata Residen</v>
      </c>
      <c r="L310" s="9"/>
      <c r="M310" s="9"/>
      <c r="N310" s="8" t="s">
        <v>19</v>
      </c>
      <c r="O310" s="9"/>
      <c r="P310" s="9"/>
      <c r="Q310" s="9"/>
      <c r="R310" s="10" t="str">
        <f>IFERROR(__xludf.DUMMYFUNCTION("""COMPUTED_VALUE"""),"BK")</f>
        <v>BK</v>
      </c>
      <c r="S310" s="9"/>
    </row>
    <row r="311" ht="22.5" customHeight="1">
      <c r="A311" s="6">
        <v>310.0</v>
      </c>
      <c r="B311" s="9" t="str">
        <f>IFERROR(__xludf.DUMMYFUNCTION("""COMPUTED_VALUE"""),"Pemasangan Pembangkit Listrik Tenaga Surya Off-Grid")</f>
        <v>Pemasangan Pembangkit Listrik Tenaga Surya Off-Grid</v>
      </c>
      <c r="C311" s="9" t="str">
        <f>IFERROR(__xludf.DUMMYFUNCTION("""COMPUTED_VALUE"""),"SMK Negeri 6 Kendari")</f>
        <v>SMK Negeri 6 Kendari</v>
      </c>
      <c r="D311" s="9"/>
      <c r="E311" s="9"/>
      <c r="F311" s="9" t="str">
        <f>IFERROR(__xludf.DUMMYFUNCTION("""COMPUTED_VALUE"""),"Rafdal Yusuf")</f>
        <v>Rafdal Yusuf</v>
      </c>
      <c r="G311" s="9" t="str">
        <f>IFERROR(__xludf.DUMMYFUNCTION("""COMPUTED_VALUE"""),"7471032705070001")</f>
        <v>7471032705070001</v>
      </c>
      <c r="H311" s="9"/>
      <c r="I311" s="9"/>
      <c r="J311" s="10" t="str">
        <f>IFERROR(__xludf.DUMMYFUNCTION("""COMPUTED_VALUE"""),"LAKI-LAKI")</f>
        <v>LAKI-LAKI</v>
      </c>
      <c r="K311" s="9" t="str">
        <f>IFERROR(__xludf.DUMMYFUNCTION("""COMPUTED_VALUE"""),"Jln. KS Tubun")</f>
        <v>Jln. KS Tubun</v>
      </c>
      <c r="L311" s="9"/>
      <c r="M311" s="9"/>
      <c r="N311" s="8" t="s">
        <v>19</v>
      </c>
      <c r="O311" s="9"/>
      <c r="P311" s="9"/>
      <c r="Q311" s="9"/>
      <c r="R311" s="10" t="str">
        <f>IFERROR(__xludf.DUMMYFUNCTION("""COMPUTED_VALUE"""),"K")</f>
        <v>K</v>
      </c>
      <c r="S311" s="9"/>
    </row>
    <row r="312" ht="22.5" customHeight="1">
      <c r="A312" s="6">
        <v>311.0</v>
      </c>
      <c r="B312" s="9" t="str">
        <f>IFERROR(__xludf.DUMMYFUNCTION("""COMPUTED_VALUE"""),"Pemasangan Pembangkit Listrik Tenaga Surya Off-Grid")</f>
        <v>Pemasangan Pembangkit Listrik Tenaga Surya Off-Grid</v>
      </c>
      <c r="C312" s="9" t="str">
        <f>IFERROR(__xludf.DUMMYFUNCTION("""COMPUTED_VALUE"""),"SMK Negeri 6 Kendari")</f>
        <v>SMK Negeri 6 Kendari</v>
      </c>
      <c r="D312" s="9"/>
      <c r="E312" s="9"/>
      <c r="F312" s="9" t="str">
        <f>IFERROR(__xludf.DUMMYFUNCTION("""COMPUTED_VALUE"""),"Reksa Amifea Darmawan")</f>
        <v>Reksa Amifea Darmawan</v>
      </c>
      <c r="G312" s="9" t="str">
        <f>IFERROR(__xludf.DUMMYFUNCTION("""COMPUTED_VALUE"""),"7471030602080001")</f>
        <v>7471030602080001</v>
      </c>
      <c r="H312" s="9"/>
      <c r="I312" s="9"/>
      <c r="J312" s="10" t="str">
        <f>IFERROR(__xludf.DUMMYFUNCTION("""COMPUTED_VALUE"""),"LAKI-LAKI")</f>
        <v>LAKI-LAKI</v>
      </c>
      <c r="K312" s="9" t="str">
        <f>IFERROR(__xludf.DUMMYFUNCTION("""COMPUTED_VALUE"""),"Jln. Simbo")</f>
        <v>Jln. Simbo</v>
      </c>
      <c r="L312" s="9"/>
      <c r="M312" s="9"/>
      <c r="N312" s="8" t="s">
        <v>19</v>
      </c>
      <c r="O312" s="9"/>
      <c r="P312" s="9"/>
      <c r="Q312" s="9"/>
      <c r="R312" s="10" t="str">
        <f>IFERROR(__xludf.DUMMYFUNCTION("""COMPUTED_VALUE"""),"K")</f>
        <v>K</v>
      </c>
      <c r="S312" s="9"/>
    </row>
    <row r="313" ht="22.5" customHeight="1">
      <c r="A313" s="6">
        <v>312.0</v>
      </c>
      <c r="B313" s="9" t="str">
        <f>IFERROR(__xludf.DUMMYFUNCTION("""COMPUTED_VALUE"""),"Pemasangan Pembangkit Listrik Tenaga Surya Off-Grid")</f>
        <v>Pemasangan Pembangkit Listrik Tenaga Surya Off-Grid</v>
      </c>
      <c r="C313" s="9" t="str">
        <f>IFERROR(__xludf.DUMMYFUNCTION("""COMPUTED_VALUE"""),"SMK Negeri 6 Kendari")</f>
        <v>SMK Negeri 6 Kendari</v>
      </c>
      <c r="D313" s="9"/>
      <c r="E313" s="9"/>
      <c r="F313" s="9" t="str">
        <f>IFERROR(__xludf.DUMMYFUNCTION("""COMPUTED_VALUE"""),"Rifki Ahmad")</f>
        <v>Rifki Ahmad</v>
      </c>
      <c r="G313" s="9" t="str">
        <f>IFERROR(__xludf.DUMMYFUNCTION("""COMPUTED_VALUE"""),"7471041107080001")</f>
        <v>7471041107080001</v>
      </c>
      <c r="H313" s="9"/>
      <c r="I313" s="9"/>
      <c r="J313" s="10" t="str">
        <f>IFERROR(__xludf.DUMMYFUNCTION("""COMPUTED_VALUE"""),"LAKI-LAKI")</f>
        <v>LAKI-LAKI</v>
      </c>
      <c r="K313" s="9" t="str">
        <f>IFERROR(__xludf.DUMMYFUNCTION("""COMPUTED_VALUE"""),"Kampung Baru, Anduonohu")</f>
        <v>Kampung Baru, Anduonohu</v>
      </c>
      <c r="L313" s="9"/>
      <c r="M313" s="9"/>
      <c r="N313" s="8" t="s">
        <v>19</v>
      </c>
      <c r="O313" s="9"/>
      <c r="P313" s="9"/>
      <c r="Q313" s="9"/>
      <c r="R313" s="10" t="str">
        <f>IFERROR(__xludf.DUMMYFUNCTION("""COMPUTED_VALUE"""),"K")</f>
        <v>K</v>
      </c>
      <c r="S313" s="9"/>
    </row>
    <row r="314" ht="22.5" customHeight="1">
      <c r="A314" s="6">
        <v>313.0</v>
      </c>
      <c r="B314" s="9" t="str">
        <f>IFERROR(__xludf.DUMMYFUNCTION("""COMPUTED_VALUE"""),"Pemasangan Pembangkit Listrik Tenaga Surya Off-Grid")</f>
        <v>Pemasangan Pembangkit Listrik Tenaga Surya Off-Grid</v>
      </c>
      <c r="C314" s="9" t="str">
        <f>IFERROR(__xludf.DUMMYFUNCTION("""COMPUTED_VALUE"""),"SMK Negeri 6 Kendari")</f>
        <v>SMK Negeri 6 Kendari</v>
      </c>
      <c r="D314" s="9"/>
      <c r="E314" s="9"/>
      <c r="F314" s="9" t="str">
        <f>IFERROR(__xludf.DUMMYFUNCTION("""COMPUTED_VALUE"""),"Rizky Galang Aydrus")</f>
        <v>Rizky Galang Aydrus</v>
      </c>
      <c r="G314" s="9" t="str">
        <f>IFERROR(__xludf.DUMMYFUNCTION("""COMPUTED_VALUE"""),"7472060404060003")</f>
        <v>7472060404060003</v>
      </c>
      <c r="H314" s="9"/>
      <c r="I314" s="9"/>
      <c r="J314" s="10" t="str">
        <f>IFERROR(__xludf.DUMMYFUNCTION("""COMPUTED_VALUE"""),"LAKI-LAKI")</f>
        <v>LAKI-LAKI</v>
      </c>
      <c r="K314" s="9" t="str">
        <f>IFERROR(__xludf.DUMMYFUNCTION("""COMPUTED_VALUE"""),"Baruga")</f>
        <v>Baruga</v>
      </c>
      <c r="L314" s="9"/>
      <c r="M314" s="9"/>
      <c r="N314" s="8" t="s">
        <v>19</v>
      </c>
      <c r="O314" s="9"/>
      <c r="P314" s="9"/>
      <c r="Q314" s="9"/>
      <c r="R314" s="10" t="str">
        <f>IFERROR(__xludf.DUMMYFUNCTION("""COMPUTED_VALUE"""),"K")</f>
        <v>K</v>
      </c>
      <c r="S314" s="9"/>
    </row>
    <row r="315" ht="22.5" customHeight="1">
      <c r="A315" s="6">
        <v>314.0</v>
      </c>
      <c r="B315" s="9" t="str">
        <f>IFERROR(__xludf.DUMMYFUNCTION("""COMPUTED_VALUE"""),"Pemasangan Pembangkit Listrik Tenaga Surya Off-Grid")</f>
        <v>Pemasangan Pembangkit Listrik Tenaga Surya Off-Grid</v>
      </c>
      <c r="C315" s="9" t="str">
        <f>IFERROR(__xludf.DUMMYFUNCTION("""COMPUTED_VALUE"""),"SMK Negeri 6 Kendari")</f>
        <v>SMK Negeri 6 Kendari</v>
      </c>
      <c r="D315" s="9"/>
      <c r="E315" s="9"/>
      <c r="F315" s="9" t="str">
        <f>IFERROR(__xludf.DUMMYFUNCTION("""COMPUTED_VALUE"""),"Sry Defi")</f>
        <v>Sry Defi</v>
      </c>
      <c r="G315" s="9" t="str">
        <f>IFERROR(__xludf.DUMMYFUNCTION("""COMPUTED_VALUE"""),"7471046407960001")</f>
        <v>7471046407960001</v>
      </c>
      <c r="H315" s="9"/>
      <c r="I315" s="9"/>
      <c r="J315" s="10" t="str">
        <f>IFERROR(__xludf.DUMMYFUNCTION("""COMPUTED_VALUE"""),"PEREMPUAN")</f>
        <v>PEREMPUAN</v>
      </c>
      <c r="K315" s="9" t="str">
        <f>IFERROR(__xludf.DUMMYFUNCTION("""COMPUTED_VALUE"""),"jl. kijang")</f>
        <v>jl. kijang</v>
      </c>
      <c r="L315" s="9"/>
      <c r="M315" s="9"/>
      <c r="N315" s="8" t="s">
        <v>19</v>
      </c>
      <c r="O315" s="9"/>
      <c r="P315" s="9"/>
      <c r="Q315" s="9"/>
      <c r="R315" s="10" t="str">
        <f>IFERROR(__xludf.DUMMYFUNCTION("""COMPUTED_VALUE"""),"K")</f>
        <v>K</v>
      </c>
      <c r="S315" s="9"/>
    </row>
    <row r="316" ht="22.5" customHeight="1">
      <c r="A316" s="6">
        <v>315.0</v>
      </c>
      <c r="B316" s="9" t="str">
        <f>IFERROR(__xludf.DUMMYFUNCTION("""COMPUTED_VALUE"""),"Pemasangan Pembangkit Listrik Tenaga Surya Off-Grid")</f>
        <v>Pemasangan Pembangkit Listrik Tenaga Surya Off-Grid</v>
      </c>
      <c r="C316" s="9" t="str">
        <f>IFERROR(__xludf.DUMMYFUNCTION("""COMPUTED_VALUE"""),"SMK Negeri 6 Kendari")</f>
        <v>SMK Negeri 6 Kendari</v>
      </c>
      <c r="D316" s="9"/>
      <c r="E316" s="9"/>
      <c r="F316" s="9" t="str">
        <f>IFERROR(__xludf.DUMMYFUNCTION("""COMPUTED_VALUE"""),"Dian Lestari")</f>
        <v>Dian Lestari</v>
      </c>
      <c r="G316" s="9" t="str">
        <f>IFERROR(__xludf.DUMMYFUNCTION("""COMPUTED_VALUE"""),"7409075110970001")</f>
        <v>7409075110970001</v>
      </c>
      <c r="H316" s="9"/>
      <c r="I316" s="9"/>
      <c r="J316" s="10" t="str">
        <f>IFERROR(__xludf.DUMMYFUNCTION("""COMPUTED_VALUE"""),"PEREMPUAN")</f>
        <v>PEREMPUAN</v>
      </c>
      <c r="K316" s="9" t="str">
        <f>IFERROR(__xludf.DUMMYFUNCTION("""COMPUTED_VALUE"""),"Mahontea")</f>
        <v>Mahontea</v>
      </c>
      <c r="L316" s="9"/>
      <c r="M316" s="9"/>
      <c r="N316" s="8" t="s">
        <v>19</v>
      </c>
      <c r="O316" s="9"/>
      <c r="P316" s="9"/>
      <c r="Q316" s="9"/>
      <c r="R316" s="10" t="str">
        <f>IFERROR(__xludf.DUMMYFUNCTION("""COMPUTED_VALUE"""),"K")</f>
        <v>K</v>
      </c>
      <c r="S316" s="9"/>
    </row>
    <row r="317" ht="22.5" customHeight="1">
      <c r="A317" s="6">
        <v>316.0</v>
      </c>
      <c r="B317" s="9" t="str">
        <f>IFERROR(__xludf.DUMMYFUNCTION("""COMPUTED_VALUE"""),"Pemasangan Pembangkit Listrik Tenaga Surya Off-Grid")</f>
        <v>Pemasangan Pembangkit Listrik Tenaga Surya Off-Grid</v>
      </c>
      <c r="C317" s="9" t="str">
        <f>IFERROR(__xludf.DUMMYFUNCTION("""COMPUTED_VALUE"""),"SMK Negeri 6 Kendari")</f>
        <v>SMK Negeri 6 Kendari</v>
      </c>
      <c r="D317" s="9"/>
      <c r="E317" s="9"/>
      <c r="F317" s="9" t="str">
        <f>IFERROR(__xludf.DUMMYFUNCTION("""COMPUTED_VALUE"""),"Nursabiah")</f>
        <v>Nursabiah</v>
      </c>
      <c r="G317" s="9" t="str">
        <f>IFERROR(__xludf.DUMMYFUNCTION("""COMPUTED_VALUE"""),"7401185712960001")</f>
        <v>7401185712960001</v>
      </c>
      <c r="H317" s="9"/>
      <c r="I317" s="9"/>
      <c r="J317" s="10" t="str">
        <f>IFERROR(__xludf.DUMMYFUNCTION("""COMPUTED_VALUE"""),"PEREMPUAN")</f>
        <v>PEREMPUAN</v>
      </c>
      <c r="K317" s="9" t="str">
        <f>IFERROR(__xludf.DUMMYFUNCTION("""COMPUTED_VALUE"""),"Kec. Anaiwai, Tunggala")</f>
        <v>Kec. Anaiwai, Tunggala</v>
      </c>
      <c r="L317" s="9"/>
      <c r="M317" s="9"/>
      <c r="N317" s="8" t="s">
        <v>19</v>
      </c>
      <c r="O317" s="9"/>
      <c r="P317" s="9"/>
      <c r="Q317" s="9"/>
      <c r="R317" s="10" t="str">
        <f>IFERROR(__xludf.DUMMYFUNCTION("""COMPUTED_VALUE"""),"K")</f>
        <v>K</v>
      </c>
      <c r="S317" s="9"/>
    </row>
    <row r="318" ht="22.5" customHeight="1">
      <c r="A318" s="6">
        <v>317.0</v>
      </c>
      <c r="B318" s="6" t="str">
        <f>IFERROR(__xludf.DUMMYFUNCTION("""COMPUTED_VALUE"""),"Pengelola Administrasi Perkantoran")</f>
        <v>Pengelola Administrasi Perkantoran</v>
      </c>
      <c r="C318" s="6" t="str">
        <f>IFERROR(__xludf.DUMMYFUNCTION("""COMPUTED_VALUE"""),"SMK Negeri 1 Kendari")</f>
        <v>SMK Negeri 1 Kendari</v>
      </c>
      <c r="F318" s="6" t="str">
        <f>IFERROR(__xludf.DUMMYFUNCTION("""COMPUTED_VALUE"""),"Ade Lia Keysa Putri Haerun")</f>
        <v>Ade Lia Keysa Putri Haerun</v>
      </c>
      <c r="G318" s="6" t="str">
        <f>IFERROR(__xludf.DUMMYFUNCTION("""COMPUTED_VALUE"""),"7471056201080003")</f>
        <v>7471056201080003</v>
      </c>
      <c r="J318" s="7" t="str">
        <f>IFERROR(__xludf.DUMMYFUNCTION("""COMPUTED_VALUE"""),"PEREMPUAN")</f>
        <v>PEREMPUAN</v>
      </c>
      <c r="K318" s="6" t="str">
        <f>IFERROR(__xludf.DUMMYFUNCTION("""COMPUTED_VALUE"""),"Jl. Ir. Soekarno No. 49")</f>
        <v>Jl. Ir. Soekarno No. 49</v>
      </c>
      <c r="N318" s="8" t="s">
        <v>19</v>
      </c>
      <c r="R318" s="7" t="str">
        <f>IFERROR(__xludf.DUMMYFUNCTION("""COMPUTED_VALUE"""),"BK")</f>
        <v>BK</v>
      </c>
    </row>
    <row r="319" ht="22.5" customHeight="1">
      <c r="A319" s="6">
        <v>318.0</v>
      </c>
      <c r="B319" s="6" t="str">
        <f>IFERROR(__xludf.DUMMYFUNCTION("""COMPUTED_VALUE"""),"Pengelola Administrasi Perkantoran")</f>
        <v>Pengelola Administrasi Perkantoran</v>
      </c>
      <c r="C319" s="6" t="str">
        <f>IFERROR(__xludf.DUMMYFUNCTION("""COMPUTED_VALUE"""),"SMK Negeri 1 Kendari")</f>
        <v>SMK Negeri 1 Kendari</v>
      </c>
      <c r="F319" s="6" t="str">
        <f>IFERROR(__xludf.DUMMYFUNCTION("""COMPUTED_VALUE"""),"ADE SARTIKA")</f>
        <v>ADE SARTIKA</v>
      </c>
      <c r="G319" s="6" t="str">
        <f>IFERROR(__xludf.DUMMYFUNCTION("""COMPUTED_VALUE"""),"7471095606080001")</f>
        <v>7471095606080001</v>
      </c>
      <c r="J319" s="7" t="str">
        <f>IFERROR(__xludf.DUMMYFUNCTION("""COMPUTED_VALUE"""),"PEREMPUAN")</f>
        <v>PEREMPUAN</v>
      </c>
      <c r="K319" s="6" t="str">
        <f>IFERROR(__xludf.DUMMYFUNCTION("""COMPUTED_VALUE"""),"Jl. sapati")</f>
        <v>Jl. sapati</v>
      </c>
      <c r="N319" s="8" t="s">
        <v>19</v>
      </c>
      <c r="R319" s="7" t="str">
        <f>IFERROR(__xludf.DUMMYFUNCTION("""COMPUTED_VALUE"""),"K")</f>
        <v>K</v>
      </c>
    </row>
    <row r="320" ht="22.5" customHeight="1">
      <c r="A320" s="6">
        <v>319.0</v>
      </c>
      <c r="B320" s="6" t="str">
        <f>IFERROR(__xludf.DUMMYFUNCTION("""COMPUTED_VALUE"""),"Pengelola Administrasi Perkantoran")</f>
        <v>Pengelola Administrasi Perkantoran</v>
      </c>
      <c r="C320" s="6" t="str">
        <f>IFERROR(__xludf.DUMMYFUNCTION("""COMPUTED_VALUE"""),"SMK Negeri 1 Kendari")</f>
        <v>SMK Negeri 1 Kendari</v>
      </c>
      <c r="F320" s="6" t="str">
        <f>IFERROR(__xludf.DUMMYFUNCTION("""COMPUTED_VALUE"""),"ADYTIA RAHMAT IRWANSYAH")</f>
        <v>ADYTIA RAHMAT IRWANSYAH</v>
      </c>
      <c r="G320" s="6" t="str">
        <f>IFERROR(__xludf.DUMMYFUNCTION("""COMPUTED_VALUE"""),"7471010811080005")</f>
        <v>7471010811080005</v>
      </c>
      <c r="J320" s="7" t="str">
        <f>IFERROR(__xludf.DUMMYFUNCTION("""COMPUTED_VALUE"""),"LAKI-LAKI")</f>
        <v>LAKI-LAKI</v>
      </c>
      <c r="K320" s="6" t="str">
        <f>IFERROR(__xludf.DUMMYFUNCTION("""COMPUTED_VALUE"""),"Jln. Imam Bonjol")</f>
        <v>Jln. Imam Bonjol</v>
      </c>
      <c r="N320" s="8" t="s">
        <v>19</v>
      </c>
      <c r="R320" s="7" t="str">
        <f>IFERROR(__xludf.DUMMYFUNCTION("""COMPUTED_VALUE"""),"K")</f>
        <v>K</v>
      </c>
    </row>
    <row r="321" ht="22.5" customHeight="1">
      <c r="A321" s="6">
        <v>320.0</v>
      </c>
      <c r="B321" s="6" t="str">
        <f>IFERROR(__xludf.DUMMYFUNCTION("""COMPUTED_VALUE"""),"Pengelola Administrasi Perkantoran")</f>
        <v>Pengelola Administrasi Perkantoran</v>
      </c>
      <c r="C321" s="6" t="str">
        <f>IFERROR(__xludf.DUMMYFUNCTION("""COMPUTED_VALUE"""),"SMK Negeri 1 Kendari")</f>
        <v>SMK Negeri 1 Kendari</v>
      </c>
      <c r="F321" s="6" t="str">
        <f>IFERROR(__xludf.DUMMYFUNCTION("""COMPUTED_VALUE"""),"AISYAH AL MAIRA ALIFA THAYEB")</f>
        <v>AISYAH AL MAIRA ALIFA THAYEB</v>
      </c>
      <c r="G321" s="6" t="str">
        <f>IFERROR(__xludf.DUMMYFUNCTION("""COMPUTED_VALUE"""),"7471055410080003")</f>
        <v>7471055410080003</v>
      </c>
      <c r="J321" s="7" t="str">
        <f>IFERROR(__xludf.DUMMYFUNCTION("""COMPUTED_VALUE"""),"PEREMPUAN")</f>
        <v>PEREMPUAN</v>
      </c>
      <c r="K321" s="6" t="str">
        <f>IFERROR(__xludf.DUMMYFUNCTION("""COMPUTED_VALUE"""),"Jl. Chairil Anwar Lr. Durian")</f>
        <v>Jl. Chairil Anwar Lr. Durian</v>
      </c>
      <c r="N321" s="8" t="s">
        <v>19</v>
      </c>
      <c r="R321" s="7" t="str">
        <f>IFERROR(__xludf.DUMMYFUNCTION("""COMPUTED_VALUE"""),"K")</f>
        <v>K</v>
      </c>
    </row>
    <row r="322" ht="22.5" customHeight="1">
      <c r="A322" s="6">
        <v>321.0</v>
      </c>
      <c r="B322" s="6" t="str">
        <f>IFERROR(__xludf.DUMMYFUNCTION("""COMPUTED_VALUE"""),"Pengelola Administrasi Perkantoran")</f>
        <v>Pengelola Administrasi Perkantoran</v>
      </c>
      <c r="C322" s="6" t="str">
        <f>IFERROR(__xludf.DUMMYFUNCTION("""COMPUTED_VALUE"""),"SMK Negeri 1 Kendari")</f>
        <v>SMK Negeri 1 Kendari</v>
      </c>
      <c r="F322" s="6" t="str">
        <f>IFERROR(__xludf.DUMMYFUNCTION("""COMPUTED_VALUE"""),"Alamsyah")</f>
        <v>Alamsyah</v>
      </c>
      <c r="G322" s="6" t="str">
        <f>IFERROR(__xludf.DUMMYFUNCTION("""COMPUTED_VALUE"""),"7471012107070003")</f>
        <v>7471012107070003</v>
      </c>
      <c r="J322" s="7" t="str">
        <f>IFERROR(__xludf.DUMMYFUNCTION("""COMPUTED_VALUE"""),"LAKI-LAKI")</f>
        <v>LAKI-LAKI</v>
      </c>
      <c r="K322" s="6" t="str">
        <f>IFERROR(__xludf.DUMMYFUNCTION("""COMPUTED_VALUE"""),"Jl. Sao-sao Komp. Perumnas")</f>
        <v>Jl. Sao-sao Komp. Perumnas</v>
      </c>
      <c r="N322" s="8" t="s">
        <v>19</v>
      </c>
      <c r="R322" s="7" t="str">
        <f>IFERROR(__xludf.DUMMYFUNCTION("""COMPUTED_VALUE"""),"K")</f>
        <v>K</v>
      </c>
    </row>
    <row r="323" ht="22.5" customHeight="1">
      <c r="A323" s="6">
        <v>322.0</v>
      </c>
      <c r="B323" s="6" t="str">
        <f>IFERROR(__xludf.DUMMYFUNCTION("""COMPUTED_VALUE"""),"Pengelola Administrasi Perkantoran")</f>
        <v>Pengelola Administrasi Perkantoran</v>
      </c>
      <c r="C323" s="6" t="str">
        <f>IFERROR(__xludf.DUMMYFUNCTION("""COMPUTED_VALUE"""),"SMK Negeri 1 Kendari")</f>
        <v>SMK Negeri 1 Kendari</v>
      </c>
      <c r="F323" s="6" t="str">
        <f>IFERROR(__xludf.DUMMYFUNCTION("""COMPUTED_VALUE"""),"Alya Herani")</f>
        <v>Alya Herani</v>
      </c>
      <c r="G323" s="6" t="str">
        <f>IFERROR(__xludf.DUMMYFUNCTION("""COMPUTED_VALUE"""),"7471106808080002")</f>
        <v>7471106808080002</v>
      </c>
      <c r="J323" s="7" t="str">
        <f>IFERROR(__xludf.DUMMYFUNCTION("""COMPUTED_VALUE"""),"PEREMPUAN")</f>
        <v>PEREMPUAN</v>
      </c>
      <c r="K323" s="6" t="str">
        <f>IFERROR(__xludf.DUMMYFUNCTION("""COMPUTED_VALUE"""),"Jl.H.E.A. Mokodompit")</f>
        <v>Jl.H.E.A. Mokodompit</v>
      </c>
      <c r="N323" s="8" t="s">
        <v>19</v>
      </c>
      <c r="R323" s="7" t="str">
        <f>IFERROR(__xludf.DUMMYFUNCTION("""COMPUTED_VALUE"""),"K")</f>
        <v>K</v>
      </c>
    </row>
    <row r="324" ht="22.5" customHeight="1">
      <c r="A324" s="6">
        <v>323.0</v>
      </c>
      <c r="B324" s="6" t="str">
        <f>IFERROR(__xludf.DUMMYFUNCTION("""COMPUTED_VALUE"""),"Pengelola Administrasi Perkantoran")</f>
        <v>Pengelola Administrasi Perkantoran</v>
      </c>
      <c r="C324" s="6" t="str">
        <f>IFERROR(__xludf.DUMMYFUNCTION("""COMPUTED_VALUE"""),"SMK Negeri 1 Kendari")</f>
        <v>SMK Negeri 1 Kendari</v>
      </c>
      <c r="F324" s="6" t="str">
        <f>IFERROR(__xludf.DUMMYFUNCTION("""COMPUTED_VALUE"""),"ANNISA RAMADANI SUNGE")</f>
        <v>ANNISA RAMADANI SUNGE</v>
      </c>
      <c r="G324" s="6" t="str">
        <f>IFERROR(__xludf.DUMMYFUNCTION("""COMPUTED_VALUE"""),"7471054209080003")</f>
        <v>7471054209080003</v>
      </c>
      <c r="J324" s="7" t="str">
        <f>IFERROR(__xludf.DUMMYFUNCTION("""COMPUTED_VALUE"""),"PEREMPUAN")</f>
        <v>PEREMPUAN</v>
      </c>
      <c r="K324" s="6" t="str">
        <f>IFERROR(__xludf.DUMMYFUNCTION("""COMPUTED_VALUE"""),"Jl. Pembangunan")</f>
        <v>Jl. Pembangunan</v>
      </c>
      <c r="N324" s="8" t="s">
        <v>19</v>
      </c>
      <c r="R324" s="7" t="str">
        <f>IFERROR(__xludf.DUMMYFUNCTION("""COMPUTED_VALUE"""),"K")</f>
        <v>K</v>
      </c>
    </row>
    <row r="325" ht="22.5" customHeight="1">
      <c r="A325" s="6">
        <v>324.0</v>
      </c>
      <c r="B325" s="6" t="str">
        <f>IFERROR(__xludf.DUMMYFUNCTION("""COMPUTED_VALUE"""),"Pengelola Administrasi Perkantoran")</f>
        <v>Pengelola Administrasi Perkantoran</v>
      </c>
      <c r="C325" s="6" t="str">
        <f>IFERROR(__xludf.DUMMYFUNCTION("""COMPUTED_VALUE"""),"SMK Negeri 1 Kendari")</f>
        <v>SMK Negeri 1 Kendari</v>
      </c>
      <c r="F325" s="6" t="str">
        <f>IFERROR(__xludf.DUMMYFUNCTION("""COMPUTED_VALUE"""),"EXCEL WIBOWO")</f>
        <v>EXCEL WIBOWO</v>
      </c>
      <c r="G325" s="6" t="str">
        <f>IFERROR(__xludf.DUMMYFUNCTION("""COMPUTED_VALUE"""),"7471092607080001")</f>
        <v>7471092607080001</v>
      </c>
      <c r="J325" s="7" t="str">
        <f>IFERROR(__xludf.DUMMYFUNCTION("""COMPUTED_VALUE"""),"LAKI-LAKI")</f>
        <v>LAKI-LAKI</v>
      </c>
      <c r="K325" s="6" t="str">
        <f>IFERROR(__xludf.DUMMYFUNCTION("""COMPUTED_VALUE"""),"Jl. Budi Utomo lr. Gersamata Ujung")</f>
        <v>Jl. Budi Utomo lr. Gersamata Ujung</v>
      </c>
      <c r="N325" s="8" t="s">
        <v>19</v>
      </c>
      <c r="R325" s="7" t="str">
        <f>IFERROR(__xludf.DUMMYFUNCTION("""COMPUTED_VALUE"""),"K")</f>
        <v>K</v>
      </c>
    </row>
    <row r="326" ht="22.5" customHeight="1">
      <c r="A326" s="6">
        <v>325.0</v>
      </c>
      <c r="B326" s="6" t="str">
        <f>IFERROR(__xludf.DUMMYFUNCTION("""COMPUTED_VALUE"""),"Pengelola Administrasi Perkantoran")</f>
        <v>Pengelola Administrasi Perkantoran</v>
      </c>
      <c r="C326" s="6" t="str">
        <f>IFERROR(__xludf.DUMMYFUNCTION("""COMPUTED_VALUE"""),"SMK Negeri 1 Kendari")</f>
        <v>SMK Negeri 1 Kendari</v>
      </c>
      <c r="F326" s="6" t="str">
        <f>IFERROR(__xludf.DUMMYFUNCTION("""COMPUTED_VALUE"""),"FEBRIANTI PALLIN")</f>
        <v>FEBRIANTI PALLIN</v>
      </c>
      <c r="G326" s="6" t="str">
        <f>IFERROR(__xludf.DUMMYFUNCTION("""COMPUTED_VALUE"""),"7402204402090001")</f>
        <v>7402204402090001</v>
      </c>
      <c r="J326" s="7" t="str">
        <f>IFERROR(__xludf.DUMMYFUNCTION("""COMPUTED_VALUE"""),"PEREMPUAN")</f>
        <v>PEREMPUAN</v>
      </c>
      <c r="K326" s="6" t="str">
        <f>IFERROR(__xludf.DUMMYFUNCTION("""COMPUTED_VALUE"""),"Jl. Y. Wayong II Dalam, Lrg. Pelangi Ujung")</f>
        <v>Jl. Y. Wayong II Dalam, Lrg. Pelangi Ujung</v>
      </c>
      <c r="N326" s="8" t="s">
        <v>19</v>
      </c>
      <c r="R326" s="7" t="str">
        <f>IFERROR(__xludf.DUMMYFUNCTION("""COMPUTED_VALUE"""),"K")</f>
        <v>K</v>
      </c>
    </row>
    <row r="327" ht="22.5" customHeight="1">
      <c r="A327" s="6">
        <v>326.0</v>
      </c>
      <c r="B327" s="6" t="str">
        <f>IFERROR(__xludf.DUMMYFUNCTION("""COMPUTED_VALUE"""),"Pengelola Administrasi Perkantoran")</f>
        <v>Pengelola Administrasi Perkantoran</v>
      </c>
      <c r="C327" s="6" t="str">
        <f>IFERROR(__xludf.DUMMYFUNCTION("""COMPUTED_VALUE"""),"SMK Negeri 1 Kendari")</f>
        <v>SMK Negeri 1 Kendari</v>
      </c>
      <c r="F327" s="6" t="str">
        <f>IFERROR(__xludf.DUMMYFUNCTION("""COMPUTED_VALUE"""),"Firsa Zesiliana Safitri")</f>
        <v>Firsa Zesiliana Safitri</v>
      </c>
      <c r="G327" s="6" t="str">
        <f>IFERROR(__xludf.DUMMYFUNCTION("""COMPUTED_VALUE"""),"7471015705080002")</f>
        <v>7471015705080002</v>
      </c>
      <c r="J327" s="7" t="str">
        <f>IFERROR(__xludf.DUMMYFUNCTION("""COMPUTED_VALUE"""),"PEREMPUAN")</f>
        <v>PEREMPUAN</v>
      </c>
      <c r="K327" s="6" t="str">
        <f>IFERROR(__xludf.DUMMYFUNCTION("""COMPUTED_VALUE"""),"Jl. R. Suprapto")</f>
        <v>Jl. R. Suprapto</v>
      </c>
      <c r="N327" s="8" t="s">
        <v>19</v>
      </c>
      <c r="R327" s="7" t="str">
        <f>IFERROR(__xludf.DUMMYFUNCTION("""COMPUTED_VALUE"""),"K")</f>
        <v>K</v>
      </c>
    </row>
    <row r="328" ht="22.5" customHeight="1">
      <c r="A328" s="6">
        <v>327.0</v>
      </c>
      <c r="B328" s="6" t="str">
        <f>IFERROR(__xludf.DUMMYFUNCTION("""COMPUTED_VALUE"""),"Pengelola Administrasi Perkantoran")</f>
        <v>Pengelola Administrasi Perkantoran</v>
      </c>
      <c r="C328" s="6" t="str">
        <f>IFERROR(__xludf.DUMMYFUNCTION("""COMPUTED_VALUE"""),"SMK Negeri 1 Kendari")</f>
        <v>SMK Negeri 1 Kendari</v>
      </c>
      <c r="F328" s="6" t="str">
        <f>IFERROR(__xludf.DUMMYFUNCTION("""COMPUTED_VALUE"""),"GHINA FRISKA FARADILLA")</f>
        <v>GHINA FRISKA FARADILLA</v>
      </c>
      <c r="G328" s="6" t="str">
        <f>IFERROR(__xludf.DUMMYFUNCTION("""COMPUTED_VALUE"""),"7471095510080001")</f>
        <v>7471095510080001</v>
      </c>
      <c r="J328" s="7" t="str">
        <f>IFERROR(__xludf.DUMMYFUNCTION("""COMPUTED_VALUE"""),"PEREMPUAN")</f>
        <v>PEREMPUAN</v>
      </c>
      <c r="K328" s="6" t="str">
        <f>IFERROR(__xludf.DUMMYFUNCTION("""COMPUTED_VALUE"""),"-")</f>
        <v>-</v>
      </c>
      <c r="N328" s="8" t="s">
        <v>19</v>
      </c>
      <c r="R328" s="7" t="str">
        <f>IFERROR(__xludf.DUMMYFUNCTION("""COMPUTED_VALUE"""),"K")</f>
        <v>K</v>
      </c>
    </row>
    <row r="329" ht="22.5" customHeight="1">
      <c r="A329" s="6">
        <v>328.0</v>
      </c>
      <c r="B329" s="6" t="str">
        <f>IFERROR(__xludf.DUMMYFUNCTION("""COMPUTED_VALUE"""),"Pengelola Administrasi Perkantoran")</f>
        <v>Pengelola Administrasi Perkantoran</v>
      </c>
      <c r="C329" s="6" t="str">
        <f>IFERROR(__xludf.DUMMYFUNCTION("""COMPUTED_VALUE"""),"SMK Negeri 1 Kendari")</f>
        <v>SMK Negeri 1 Kendari</v>
      </c>
      <c r="F329" s="6" t="str">
        <f>IFERROR(__xludf.DUMMYFUNCTION("""COMPUTED_VALUE"""),"Ketut Trisnawati")</f>
        <v>Ketut Trisnawati</v>
      </c>
      <c r="G329" s="6" t="str">
        <f>IFERROR(__xludf.DUMMYFUNCTION("""COMPUTED_VALUE"""),"7405154907070001")</f>
        <v>7405154907070001</v>
      </c>
      <c r="J329" s="7" t="str">
        <f>IFERROR(__xludf.DUMMYFUNCTION("""COMPUTED_VALUE"""),"PEREMPUAN")</f>
        <v>PEREMPUAN</v>
      </c>
      <c r="K329" s="6" t="str">
        <f>IFERROR(__xludf.DUMMYFUNCTION("""COMPUTED_VALUE"""),"Jl. Ks Tubun, Baruga, Perumahan Griya Riski Pradana")</f>
        <v>Jl. Ks Tubun, Baruga, Perumahan Griya Riski Pradana</v>
      </c>
      <c r="N329" s="8" t="s">
        <v>19</v>
      </c>
      <c r="R329" s="7" t="str">
        <f>IFERROR(__xludf.DUMMYFUNCTION("""COMPUTED_VALUE"""),"K")</f>
        <v>K</v>
      </c>
    </row>
    <row r="330" ht="22.5" customHeight="1">
      <c r="A330" s="6">
        <v>329.0</v>
      </c>
      <c r="B330" s="6" t="str">
        <f>IFERROR(__xludf.DUMMYFUNCTION("""COMPUTED_VALUE"""),"Pengelola Administrasi Perkantoran")</f>
        <v>Pengelola Administrasi Perkantoran</v>
      </c>
      <c r="C330" s="6" t="str">
        <f>IFERROR(__xludf.DUMMYFUNCTION("""COMPUTED_VALUE"""),"SMK Negeri 1 Kendari")</f>
        <v>SMK Negeri 1 Kendari</v>
      </c>
      <c r="F330" s="6" t="str">
        <f>IFERROR(__xludf.DUMMYFUNCTION("""COMPUTED_VALUE"""),"Khayla Putri Zahra")</f>
        <v>Khayla Putri Zahra</v>
      </c>
      <c r="G330" s="6" t="str">
        <f>IFERROR(__xludf.DUMMYFUNCTION("""COMPUTED_VALUE"""),"7471015706080003")</f>
        <v>7471015706080003</v>
      </c>
      <c r="J330" s="7" t="str">
        <f>IFERROR(__xludf.DUMMYFUNCTION("""COMPUTED_VALUE"""),"PEREMPUAN")</f>
        <v>PEREMPUAN</v>
      </c>
      <c r="K330" s="6" t="str">
        <f>IFERROR(__xludf.DUMMYFUNCTION("""COMPUTED_VALUE"""),"Jalan Taman Surapati")</f>
        <v>Jalan Taman Surapati</v>
      </c>
      <c r="N330" s="8" t="s">
        <v>19</v>
      </c>
      <c r="R330" s="7" t="str">
        <f>IFERROR(__xludf.DUMMYFUNCTION("""COMPUTED_VALUE"""),"K")</f>
        <v>K</v>
      </c>
    </row>
    <row r="331" ht="22.5" customHeight="1">
      <c r="A331" s="6">
        <v>330.0</v>
      </c>
      <c r="B331" s="6" t="str">
        <f>IFERROR(__xludf.DUMMYFUNCTION("""COMPUTED_VALUE"""),"Pengelola Administrasi Perkantoran")</f>
        <v>Pengelola Administrasi Perkantoran</v>
      </c>
      <c r="C331" s="6" t="str">
        <f>IFERROR(__xludf.DUMMYFUNCTION("""COMPUTED_VALUE"""),"SMK Negeri 1 Kendari")</f>
        <v>SMK Negeri 1 Kendari</v>
      </c>
      <c r="F331" s="6" t="str">
        <f>IFERROR(__xludf.DUMMYFUNCTION("""COMPUTED_VALUE"""),"Kinanti Faiza Putri")</f>
        <v>Kinanti Faiza Putri</v>
      </c>
      <c r="G331" s="6" t="str">
        <f>IFERROR(__xludf.DUMMYFUNCTION("""COMPUTED_VALUE"""),"7471025507080001")</f>
        <v>7471025507080001</v>
      </c>
      <c r="J331" s="7" t="str">
        <f>IFERROR(__xludf.DUMMYFUNCTION("""COMPUTED_VALUE"""),"PEREMPUAN")</f>
        <v>PEREMPUAN</v>
      </c>
      <c r="K331" s="6" t="str">
        <f>IFERROR(__xludf.DUMMYFUNCTION("""COMPUTED_VALUE"""),"Jl. Poros Jati Mekar")</f>
        <v>Jl. Poros Jati Mekar</v>
      </c>
      <c r="N331" s="8" t="s">
        <v>19</v>
      </c>
      <c r="R331" s="7" t="str">
        <f>IFERROR(__xludf.DUMMYFUNCTION("""COMPUTED_VALUE"""),"K")</f>
        <v>K</v>
      </c>
    </row>
    <row r="332" ht="22.5" customHeight="1">
      <c r="A332" s="6">
        <v>331.0</v>
      </c>
      <c r="B332" s="6" t="str">
        <f>IFERROR(__xludf.DUMMYFUNCTION("""COMPUTED_VALUE"""),"Pengelola Administrasi Perkantoran")</f>
        <v>Pengelola Administrasi Perkantoran</v>
      </c>
      <c r="C332" s="6" t="str">
        <f>IFERROR(__xludf.DUMMYFUNCTION("""COMPUTED_VALUE"""),"SMK Negeri 1 Kendari")</f>
        <v>SMK Negeri 1 Kendari</v>
      </c>
      <c r="F332" s="6" t="str">
        <f>IFERROR(__xludf.DUMMYFUNCTION("""COMPUTED_VALUE"""),"MUH. HABIL MEILANO")</f>
        <v>MUH. HABIL MEILANO</v>
      </c>
      <c r="G332" s="6" t="str">
        <f>IFERROR(__xludf.DUMMYFUNCTION("""COMPUTED_VALUE"""),"7471010105080003")</f>
        <v>7471010105080003</v>
      </c>
      <c r="J332" s="7" t="str">
        <f>IFERROR(__xludf.DUMMYFUNCTION("""COMPUTED_VALUE"""),"LAKI-LAKI")</f>
        <v>LAKI-LAKI</v>
      </c>
      <c r="K332" s="6" t="str">
        <f>IFERROR(__xludf.DUMMYFUNCTION("""COMPUTED_VALUE"""),"Jl. Imam Bonjol")</f>
        <v>Jl. Imam Bonjol</v>
      </c>
      <c r="N332" s="8" t="s">
        <v>19</v>
      </c>
      <c r="R332" s="7" t="str">
        <f>IFERROR(__xludf.DUMMYFUNCTION("""COMPUTED_VALUE"""),"K")</f>
        <v>K</v>
      </c>
    </row>
    <row r="333" ht="22.5" customHeight="1">
      <c r="A333" s="6">
        <v>332.0</v>
      </c>
      <c r="B333" s="6" t="str">
        <f>IFERROR(__xludf.DUMMYFUNCTION("""COMPUTED_VALUE"""),"Pengelola Administrasi Perkantoran")</f>
        <v>Pengelola Administrasi Perkantoran</v>
      </c>
      <c r="C333" s="6" t="str">
        <f>IFERROR(__xludf.DUMMYFUNCTION("""COMPUTED_VALUE"""),"SMK Negeri 1 Kendari")</f>
        <v>SMK Negeri 1 Kendari</v>
      </c>
      <c r="F333" s="6" t="str">
        <f>IFERROR(__xludf.DUMMYFUNCTION("""COMPUTED_VALUE"""),"Muhammad Fadlan")</f>
        <v>Muhammad Fadlan</v>
      </c>
      <c r="G333" s="6" t="str">
        <f>IFERROR(__xludf.DUMMYFUNCTION("""COMPUTED_VALUE"""),"7471013006080002")</f>
        <v>7471013006080002</v>
      </c>
      <c r="J333" s="7" t="str">
        <f>IFERROR(__xludf.DUMMYFUNCTION("""COMPUTED_VALUE"""),"LAKI-LAKI")</f>
        <v>LAKI-LAKI</v>
      </c>
      <c r="K333" s="6" t="str">
        <f>IFERROR(__xludf.DUMMYFUNCTION("""COMPUTED_VALUE"""),"lorong Kenari oikumene, Mandonga")</f>
        <v>lorong Kenari oikumene, Mandonga</v>
      </c>
      <c r="N333" s="8" t="s">
        <v>19</v>
      </c>
      <c r="R333" s="7" t="str">
        <f>IFERROR(__xludf.DUMMYFUNCTION("""COMPUTED_VALUE"""),"K")</f>
        <v>K</v>
      </c>
    </row>
    <row r="334" ht="22.5" customHeight="1">
      <c r="A334" s="6">
        <v>333.0</v>
      </c>
      <c r="B334" s="6" t="str">
        <f>IFERROR(__xludf.DUMMYFUNCTION("""COMPUTED_VALUE"""),"Pengelola Administrasi Perkantoran")</f>
        <v>Pengelola Administrasi Perkantoran</v>
      </c>
      <c r="C334" s="6" t="str">
        <f>IFERROR(__xludf.DUMMYFUNCTION("""COMPUTED_VALUE"""),"SMK Negeri 1 Kendari")</f>
        <v>SMK Negeri 1 Kendari</v>
      </c>
      <c r="F334" s="6" t="str">
        <f>IFERROR(__xludf.DUMMYFUNCTION("""COMPUTED_VALUE"""),"MULIANA SARI DEWI")</f>
        <v>MULIANA SARI DEWI</v>
      </c>
      <c r="G334" s="6" t="str">
        <f>IFERROR(__xludf.DUMMYFUNCTION("""COMPUTED_VALUE"""),"7471075211080001")</f>
        <v>7471075211080001</v>
      </c>
      <c r="J334" s="7" t="str">
        <f>IFERROR(__xludf.DUMMYFUNCTION("""COMPUTED_VALUE"""),"PEREMPUAN")</f>
        <v>PEREMPUAN</v>
      </c>
      <c r="K334" s="6" t="str">
        <f>IFERROR(__xludf.DUMMYFUNCTION("""COMPUTED_VALUE"""),"Jl. Dr. Sutomo Lalodati, Puuwatu")</f>
        <v>Jl. Dr. Sutomo Lalodati, Puuwatu</v>
      </c>
      <c r="N334" s="8" t="s">
        <v>19</v>
      </c>
      <c r="R334" s="7" t="str">
        <f>IFERROR(__xludf.DUMMYFUNCTION("""COMPUTED_VALUE"""),"K")</f>
        <v>K</v>
      </c>
    </row>
    <row r="335" ht="22.5" customHeight="1">
      <c r="A335" s="6">
        <v>334.0</v>
      </c>
      <c r="B335" s="6" t="str">
        <f>IFERROR(__xludf.DUMMYFUNCTION("""COMPUTED_VALUE"""),"Pengelola Administrasi Perkantoran")</f>
        <v>Pengelola Administrasi Perkantoran</v>
      </c>
      <c r="C335" s="6" t="str">
        <f>IFERROR(__xludf.DUMMYFUNCTION("""COMPUTED_VALUE"""),"SMK Negeri 1 Kendari")</f>
        <v>SMK Negeri 1 Kendari</v>
      </c>
      <c r="F335" s="6" t="str">
        <f>IFERROR(__xludf.DUMMYFUNCTION("""COMPUTED_VALUE"""),"Mutiara Muchtar Abu")</f>
        <v>Mutiara Muchtar Abu</v>
      </c>
      <c r="G335" s="6" t="str">
        <f>IFERROR(__xludf.DUMMYFUNCTION("""COMPUTED_VALUE"""),"7471076309070002")</f>
        <v>7471076309070002</v>
      </c>
      <c r="J335" s="7" t="str">
        <f>IFERROR(__xludf.DUMMYFUNCTION("""COMPUTED_VALUE"""),"PEREMPUAN")</f>
        <v>PEREMPUAN</v>
      </c>
      <c r="K335" s="6" t="str">
        <f>IFERROR(__xludf.DUMMYFUNCTION("""COMPUTED_VALUE"""),"Jl. Budi Utomo")</f>
        <v>Jl. Budi Utomo</v>
      </c>
      <c r="N335" s="8" t="s">
        <v>19</v>
      </c>
      <c r="R335" s="7" t="str">
        <f>IFERROR(__xludf.DUMMYFUNCTION("""COMPUTED_VALUE"""),"K")</f>
        <v>K</v>
      </c>
    </row>
    <row r="336" ht="22.5" customHeight="1">
      <c r="A336" s="6">
        <v>335.0</v>
      </c>
      <c r="B336" s="6" t="str">
        <f>IFERROR(__xludf.DUMMYFUNCTION("""COMPUTED_VALUE"""),"Pengelola Administrasi Perkantoran")</f>
        <v>Pengelola Administrasi Perkantoran</v>
      </c>
      <c r="C336" s="6" t="str">
        <f>IFERROR(__xludf.DUMMYFUNCTION("""COMPUTED_VALUE"""),"SMK Negeri 1 Kendari")</f>
        <v>SMK Negeri 1 Kendari</v>
      </c>
      <c r="F336" s="6" t="str">
        <f>IFERROR(__xludf.DUMMYFUNCTION("""COMPUTED_VALUE"""),"NURFADHILA SYAM")</f>
        <v>NURFADHILA SYAM</v>
      </c>
      <c r="G336" s="6" t="str">
        <f>IFERROR(__xludf.DUMMYFUNCTION("""COMPUTED_VALUE"""),"7305074106080001")</f>
        <v>7305074106080001</v>
      </c>
      <c r="J336" s="7" t="str">
        <f>IFERROR(__xludf.DUMMYFUNCTION("""COMPUTED_VALUE"""),"PEREMPUAN")</f>
        <v>PEREMPUAN</v>
      </c>
      <c r="K336" s="6" t="str">
        <f>IFERROR(__xludf.DUMMYFUNCTION("""COMPUTED_VALUE"""),"jl. Budi Utomo Lrg. Sepakat")</f>
        <v>jl. Budi Utomo Lrg. Sepakat</v>
      </c>
      <c r="N336" s="8" t="s">
        <v>19</v>
      </c>
      <c r="R336" s="7" t="str">
        <f>IFERROR(__xludf.DUMMYFUNCTION("""COMPUTED_VALUE"""),"K")</f>
        <v>K</v>
      </c>
    </row>
    <row r="337" ht="22.5" customHeight="1">
      <c r="A337" s="6">
        <v>336.0</v>
      </c>
      <c r="B337" s="6" t="str">
        <f>IFERROR(__xludf.DUMMYFUNCTION("""COMPUTED_VALUE"""),"Pengelola Administrasi Perkantoran")</f>
        <v>Pengelola Administrasi Perkantoran</v>
      </c>
      <c r="C337" s="6" t="str">
        <f>IFERROR(__xludf.DUMMYFUNCTION("""COMPUTED_VALUE"""),"SMK Negeri 1 Kendari")</f>
        <v>SMK Negeri 1 Kendari</v>
      </c>
      <c r="F337" s="6" t="str">
        <f>IFERROR(__xludf.DUMMYFUNCTION("""COMPUTED_VALUE"""),"Nurkhotimah Adwiyani")</f>
        <v>Nurkhotimah Adwiyani</v>
      </c>
      <c r="G337" s="6" t="str">
        <f>IFERROR(__xludf.DUMMYFUNCTION("""COMPUTED_VALUE"""),"7471094811080002")</f>
        <v>7471094811080002</v>
      </c>
      <c r="J337" s="7" t="str">
        <f>IFERROR(__xludf.DUMMYFUNCTION("""COMPUTED_VALUE"""),"PEREMPUAN")</f>
        <v>PEREMPUAN</v>
      </c>
      <c r="K337" s="6" t="str">
        <f>IFERROR(__xludf.DUMMYFUNCTION("""COMPUTED_VALUE"""),"Jl. Bahagia, No.41B")</f>
        <v>Jl. Bahagia, No.41B</v>
      </c>
      <c r="N337" s="8" t="s">
        <v>19</v>
      </c>
      <c r="R337" s="7" t="str">
        <f>IFERROR(__xludf.DUMMYFUNCTION("""COMPUTED_VALUE"""),"K")</f>
        <v>K</v>
      </c>
    </row>
    <row r="338" ht="22.5" customHeight="1">
      <c r="A338" s="6">
        <v>337.0</v>
      </c>
      <c r="B338" s="6" t="str">
        <f>IFERROR(__xludf.DUMMYFUNCTION("""COMPUTED_VALUE"""),"Pengelola Administrasi Perkantoran")</f>
        <v>Pengelola Administrasi Perkantoran</v>
      </c>
      <c r="C338" s="6" t="str">
        <f>IFERROR(__xludf.DUMMYFUNCTION("""COMPUTED_VALUE"""),"SMK Negeri 1 Kendari")</f>
        <v>SMK Negeri 1 Kendari</v>
      </c>
      <c r="F338" s="6" t="str">
        <f>IFERROR(__xludf.DUMMYFUNCTION("""COMPUTED_VALUE"""),"NURUL NATASA")</f>
        <v>NURUL NATASA</v>
      </c>
      <c r="G338" s="6" t="str">
        <f>IFERROR(__xludf.DUMMYFUNCTION("""COMPUTED_VALUE"""),"7604065303090002")</f>
        <v>7604065303090002</v>
      </c>
      <c r="J338" s="7" t="str">
        <f>IFERROR(__xludf.DUMMYFUNCTION("""COMPUTED_VALUE"""),"PEREMPUAN")</f>
        <v>PEREMPUAN</v>
      </c>
      <c r="K338" s="6" t="str">
        <f>IFERROR(__xludf.DUMMYFUNCTION("""COMPUTED_VALUE"""),"Jl. A Yani Kec. Wua-wua Lrg. Mataiwoi")</f>
        <v>Jl. A Yani Kec. Wua-wua Lrg. Mataiwoi</v>
      </c>
      <c r="N338" s="8" t="s">
        <v>19</v>
      </c>
      <c r="R338" s="7" t="str">
        <f>IFERROR(__xludf.DUMMYFUNCTION("""COMPUTED_VALUE"""),"K")</f>
        <v>K</v>
      </c>
    </row>
    <row r="339" ht="22.5" customHeight="1">
      <c r="A339" s="6">
        <v>338.0</v>
      </c>
      <c r="B339" s="6" t="str">
        <f>IFERROR(__xludf.DUMMYFUNCTION("""COMPUTED_VALUE"""),"Pengelola Administrasi Perkantoran")</f>
        <v>Pengelola Administrasi Perkantoran</v>
      </c>
      <c r="C339" s="6" t="str">
        <f>IFERROR(__xludf.DUMMYFUNCTION("""COMPUTED_VALUE"""),"SMK Negeri 1 Kendari")</f>
        <v>SMK Negeri 1 Kendari</v>
      </c>
      <c r="F339" s="6" t="str">
        <f>IFERROR(__xludf.DUMMYFUNCTION("""COMPUTED_VALUE"""),"Puput Siallo")</f>
        <v>Puput Siallo</v>
      </c>
      <c r="G339" s="6" t="str">
        <f>IFERROR(__xludf.DUMMYFUNCTION("""COMPUTED_VALUE"""),"7471015902080003")</f>
        <v>7471015902080003</v>
      </c>
      <c r="J339" s="7" t="str">
        <f>IFERROR(__xludf.DUMMYFUNCTION("""COMPUTED_VALUE"""),"PEREMPUAN")</f>
        <v>PEREMPUAN</v>
      </c>
      <c r="K339" s="6" t="str">
        <f>IFERROR(__xludf.DUMMYFUNCTION("""COMPUTED_VALUE"""),"Jl. Ahmad Yani BTN III")</f>
        <v>Jl. Ahmad Yani BTN III</v>
      </c>
      <c r="N339" s="8" t="s">
        <v>19</v>
      </c>
      <c r="R339" s="7" t="str">
        <f>IFERROR(__xludf.DUMMYFUNCTION("""COMPUTED_VALUE"""),"K")</f>
        <v>K</v>
      </c>
    </row>
    <row r="340" ht="22.5" customHeight="1">
      <c r="A340" s="6">
        <v>339.0</v>
      </c>
      <c r="B340" s="6" t="str">
        <f>IFERROR(__xludf.DUMMYFUNCTION("""COMPUTED_VALUE"""),"Pengelola Administrasi Perkantoran")</f>
        <v>Pengelola Administrasi Perkantoran</v>
      </c>
      <c r="C340" s="6" t="str">
        <f>IFERROR(__xludf.DUMMYFUNCTION("""COMPUTED_VALUE"""),"SMK Negeri 1 Kendari")</f>
        <v>SMK Negeri 1 Kendari</v>
      </c>
      <c r="F340" s="6" t="str">
        <f>IFERROR(__xludf.DUMMYFUNCTION("""COMPUTED_VALUE"""),"RAHMAT RAMADHAN")</f>
        <v>RAHMAT RAMADHAN</v>
      </c>
      <c r="G340" s="6" t="str">
        <f>IFERROR(__xludf.DUMMYFUNCTION("""COMPUTED_VALUE"""),"7471021707090002")</f>
        <v>7471021707090002</v>
      </c>
      <c r="J340" s="7" t="str">
        <f>IFERROR(__xludf.DUMMYFUNCTION("""COMPUTED_VALUE"""),"LAKI-LAKI")</f>
        <v>LAKI-LAKI</v>
      </c>
      <c r="K340" s="6" t="str">
        <f>IFERROR(__xludf.DUMMYFUNCTION("""COMPUTED_VALUE"""),"Kel. Gunung Jati")</f>
        <v>Kel. Gunung Jati</v>
      </c>
      <c r="N340" s="8" t="s">
        <v>19</v>
      </c>
      <c r="R340" s="7" t="str">
        <f>IFERROR(__xludf.DUMMYFUNCTION("""COMPUTED_VALUE"""),"K")</f>
        <v>K</v>
      </c>
    </row>
    <row r="341" ht="22.5" customHeight="1">
      <c r="A341" s="6">
        <v>340.0</v>
      </c>
      <c r="B341" s="6" t="str">
        <f>IFERROR(__xludf.DUMMYFUNCTION("""COMPUTED_VALUE"""),"Pengelola Administrasi Perkantoran")</f>
        <v>Pengelola Administrasi Perkantoran</v>
      </c>
      <c r="C341" s="6" t="str">
        <f>IFERROR(__xludf.DUMMYFUNCTION("""COMPUTED_VALUE"""),"SMK Negeri 1 Kendari")</f>
        <v>SMK Negeri 1 Kendari</v>
      </c>
      <c r="F341" s="6" t="str">
        <f>IFERROR(__xludf.DUMMYFUNCTION("""COMPUTED_VALUE"""),"RAINXIFA ALEXARI QIMELA POWATU")</f>
        <v>RAINXIFA ALEXARI QIMELA POWATU</v>
      </c>
      <c r="G341" s="6" t="str">
        <f>IFERROR(__xludf.DUMMYFUNCTION("""COMPUTED_VALUE"""),"7471096601090002")</f>
        <v>7471096601090002</v>
      </c>
      <c r="J341" s="7" t="str">
        <f>IFERROR(__xludf.DUMMYFUNCTION("""COMPUTED_VALUE"""),"PEREMPUAN")</f>
        <v>PEREMPUAN</v>
      </c>
      <c r="K341" s="6" t="str">
        <f>IFERROR(__xludf.DUMMYFUNCTION("""COMPUTED_VALUE"""),"Jalan Chairil Anwar No. 74 Wua-wua Kec. Mataiwoi")</f>
        <v>Jalan Chairil Anwar No. 74 Wua-wua Kec. Mataiwoi</v>
      </c>
      <c r="N341" s="8" t="s">
        <v>19</v>
      </c>
      <c r="R341" s="7" t="str">
        <f>IFERROR(__xludf.DUMMYFUNCTION("""COMPUTED_VALUE"""),"K")</f>
        <v>K</v>
      </c>
    </row>
    <row r="342" ht="22.5" customHeight="1">
      <c r="A342" s="6">
        <v>341.0</v>
      </c>
      <c r="B342" s="6" t="str">
        <f>IFERROR(__xludf.DUMMYFUNCTION("""COMPUTED_VALUE"""),"Pengelola Administrasi Perkantoran")</f>
        <v>Pengelola Administrasi Perkantoran</v>
      </c>
      <c r="C342" s="6" t="str">
        <f>IFERROR(__xludf.DUMMYFUNCTION("""COMPUTED_VALUE"""),"SMK Negeri 1 Kendari")</f>
        <v>SMK Negeri 1 Kendari</v>
      </c>
      <c r="F342" s="6" t="str">
        <f>IFERROR(__xludf.DUMMYFUNCTION("""COMPUTED_VALUE"""),"Rezky Anawula")</f>
        <v>Rezky Anawula</v>
      </c>
      <c r="G342" s="6" t="str">
        <f>IFERROR(__xludf.DUMMYFUNCTION("""COMPUTED_VALUE"""),"7471076708070001")</f>
        <v>7471076708070001</v>
      </c>
      <c r="J342" s="7" t="str">
        <f>IFERROR(__xludf.DUMMYFUNCTION("""COMPUTED_VALUE"""),"PEREMPUAN")</f>
        <v>PEREMPUAN</v>
      </c>
      <c r="K342" s="6" t="str">
        <f>IFERROR(__xludf.DUMMYFUNCTION("""COMPUTED_VALUE"""),"Puwatu, Jalan Patimura lorong Purui")</f>
        <v>Puwatu, Jalan Patimura lorong Purui</v>
      </c>
      <c r="N342" s="8" t="s">
        <v>19</v>
      </c>
      <c r="R342" s="7" t="str">
        <f>IFERROR(__xludf.DUMMYFUNCTION("""COMPUTED_VALUE"""),"K")</f>
        <v>K</v>
      </c>
    </row>
    <row r="343" ht="22.5" customHeight="1">
      <c r="A343" s="6">
        <v>342.0</v>
      </c>
      <c r="B343" s="6" t="str">
        <f>IFERROR(__xludf.DUMMYFUNCTION("""COMPUTED_VALUE"""),"Pengelola Administrasi Perkantoran")</f>
        <v>Pengelola Administrasi Perkantoran</v>
      </c>
      <c r="C343" s="6" t="str">
        <f>IFERROR(__xludf.DUMMYFUNCTION("""COMPUTED_VALUE"""),"SMK Negeri 1 Kendari")</f>
        <v>SMK Negeri 1 Kendari</v>
      </c>
      <c r="F343" s="6" t="str">
        <f>IFERROR(__xludf.DUMMYFUNCTION("""COMPUTED_VALUE"""),"SITI EVIRAHNA. R")</f>
        <v>SITI EVIRAHNA. R</v>
      </c>
      <c r="G343" s="6" t="str">
        <f>IFERROR(__xludf.DUMMYFUNCTION("""COMPUTED_VALUE"""),"7471015302090001")</f>
        <v>7471015302090001</v>
      </c>
      <c r="J343" s="7" t="str">
        <f>IFERROR(__xludf.DUMMYFUNCTION("""COMPUTED_VALUE"""),"PEREMPUAN")</f>
        <v>PEREMPUAN</v>
      </c>
      <c r="K343" s="6" t="str">
        <f>IFERROR(__xludf.DUMMYFUNCTION("""COMPUTED_VALUE"""),"Jl. Budi Utomo, Kwc. Wua-wua, Kel. Mataiwoi")</f>
        <v>Jl. Budi Utomo, Kwc. Wua-wua, Kel. Mataiwoi</v>
      </c>
      <c r="N343" s="8" t="s">
        <v>19</v>
      </c>
      <c r="R343" s="7" t="str">
        <f>IFERROR(__xludf.DUMMYFUNCTION("""COMPUTED_VALUE"""),"K")</f>
        <v>K</v>
      </c>
    </row>
    <row r="344" ht="22.5" customHeight="1">
      <c r="A344" s="6">
        <v>343.0</v>
      </c>
      <c r="B344" s="6" t="str">
        <f>IFERROR(__xludf.DUMMYFUNCTION("""COMPUTED_VALUE"""),"Pengelola Administrasi Perkantoran")</f>
        <v>Pengelola Administrasi Perkantoran</v>
      </c>
      <c r="C344" s="6" t="str">
        <f>IFERROR(__xludf.DUMMYFUNCTION("""COMPUTED_VALUE"""),"SMK Negeri 1 Kendari")</f>
        <v>SMK Negeri 1 Kendari</v>
      </c>
      <c r="F344" s="6" t="str">
        <f>IFERROR(__xludf.DUMMYFUNCTION("""COMPUTED_VALUE"""),"SITTI NESYA ALFI ALIF S.")</f>
        <v>SITTI NESYA ALFI ALIF S.</v>
      </c>
      <c r="G344" s="6" t="str">
        <f>IFERROR(__xludf.DUMMYFUNCTION("""COMPUTED_VALUE"""),"7471075102080003")</f>
        <v>7471075102080003</v>
      </c>
      <c r="J344" s="7" t="str">
        <f>IFERROR(__xludf.DUMMYFUNCTION("""COMPUTED_VALUE"""),"PEREMPUAN")</f>
        <v>PEREMPUAN</v>
      </c>
      <c r="K344" s="6" t="str">
        <f>IFERROR(__xludf.DUMMYFUNCTION("""COMPUTED_VALUE"""),"Jl. Budi Utomo No. 11")</f>
        <v>Jl. Budi Utomo No. 11</v>
      </c>
      <c r="N344" s="8" t="s">
        <v>19</v>
      </c>
      <c r="R344" s="7" t="str">
        <f>IFERROR(__xludf.DUMMYFUNCTION("""COMPUTED_VALUE"""),"K")</f>
        <v>K</v>
      </c>
    </row>
    <row r="345" ht="22.5" customHeight="1">
      <c r="A345" s="6">
        <v>344.0</v>
      </c>
      <c r="B345" s="6" t="str">
        <f>IFERROR(__xludf.DUMMYFUNCTION("""COMPUTED_VALUE"""),"Pengelola Administrasi Perkantoran")</f>
        <v>Pengelola Administrasi Perkantoran</v>
      </c>
      <c r="C345" s="6" t="str">
        <f>IFERROR(__xludf.DUMMYFUNCTION("""COMPUTED_VALUE"""),"SMK Negeri 1 Kendari")</f>
        <v>SMK Negeri 1 Kendari</v>
      </c>
      <c r="F345" s="6" t="str">
        <f>IFERROR(__xludf.DUMMYFUNCTION("""COMPUTED_VALUE"""),"SRI AINUN APRILAN")</f>
        <v>SRI AINUN APRILAN</v>
      </c>
      <c r="G345" s="6" t="str">
        <f>IFERROR(__xludf.DUMMYFUNCTION("""COMPUTED_VALUE"""),"7471015904080001")</f>
        <v>7471015904080001</v>
      </c>
      <c r="J345" s="7" t="str">
        <f>IFERROR(__xludf.DUMMYFUNCTION("""COMPUTED_VALUE"""),"PEREMPUAN")</f>
        <v>PEREMPUAN</v>
      </c>
      <c r="K345" s="6" t="str">
        <f>IFERROR(__xludf.DUMMYFUNCTION("""COMPUTED_VALUE"""),"BTN Maleo 1, Ranomeeto")</f>
        <v>BTN Maleo 1, Ranomeeto</v>
      </c>
      <c r="N345" s="8" t="s">
        <v>19</v>
      </c>
      <c r="R345" s="7" t="str">
        <f>IFERROR(__xludf.DUMMYFUNCTION("""COMPUTED_VALUE"""),"K")</f>
        <v>K</v>
      </c>
    </row>
    <row r="346" ht="22.5" customHeight="1">
      <c r="A346" s="6">
        <v>345.0</v>
      </c>
      <c r="B346" s="6" t="str">
        <f>IFERROR(__xludf.DUMMYFUNCTION("""COMPUTED_VALUE"""),"Pengelola Administrasi Perkantoran")</f>
        <v>Pengelola Administrasi Perkantoran</v>
      </c>
      <c r="C346" s="6" t="str">
        <f>IFERROR(__xludf.DUMMYFUNCTION("""COMPUTED_VALUE"""),"SMK Negeri 1 Kendari")</f>
        <v>SMK Negeri 1 Kendari</v>
      </c>
      <c r="F346" s="6" t="str">
        <f>IFERROR(__xludf.DUMMYFUNCTION("""COMPUTED_VALUE"""),"Suci Ramadhani H.")</f>
        <v>Suci Ramadhani H.</v>
      </c>
      <c r="G346" s="6" t="str">
        <f>IFERROR(__xludf.DUMMYFUNCTION("""COMPUTED_VALUE"""),"7471087108080001")</f>
        <v>7471087108080001</v>
      </c>
      <c r="J346" s="7" t="str">
        <f>IFERROR(__xludf.DUMMYFUNCTION("""COMPUTED_VALUE"""),"PEREMPUAN")</f>
        <v>PEREMPUAN</v>
      </c>
      <c r="K346" s="6" t="str">
        <f>IFERROR(__xludf.DUMMYFUNCTION("""COMPUTED_VALUE"""),"Jalan segar")</f>
        <v>Jalan segar</v>
      </c>
      <c r="N346" s="8" t="s">
        <v>19</v>
      </c>
      <c r="R346" s="7" t="str">
        <f>IFERROR(__xludf.DUMMYFUNCTION("""COMPUTED_VALUE"""),"K")</f>
        <v>K</v>
      </c>
    </row>
    <row r="347" ht="22.5" customHeight="1">
      <c r="A347" s="6">
        <v>346.0</v>
      </c>
      <c r="B347" s="6" t="str">
        <f>IFERROR(__xludf.DUMMYFUNCTION("""COMPUTED_VALUE"""),"Pengelola Administrasi Perkantoran")</f>
        <v>Pengelola Administrasi Perkantoran</v>
      </c>
      <c r="C347" s="6" t="str">
        <f>IFERROR(__xludf.DUMMYFUNCTION("""COMPUTED_VALUE"""),"SMK Negeri 1 Kendari")</f>
        <v>SMK Negeri 1 Kendari</v>
      </c>
      <c r="F347" s="6" t="str">
        <f>IFERROR(__xludf.DUMMYFUNCTION("""COMPUTED_VALUE"""),"ZANUN BAITI")</f>
        <v>ZANUN BAITI</v>
      </c>
      <c r="G347" s="6" t="str">
        <f>IFERROR(__xludf.DUMMYFUNCTION("""COMPUTED_VALUE"""),"7471074703080001")</f>
        <v>7471074703080001</v>
      </c>
      <c r="J347" s="7" t="str">
        <f>IFERROR(__xludf.DUMMYFUNCTION("""COMPUTED_VALUE"""),"PEREMPUAN")</f>
        <v>PEREMPUAN</v>
      </c>
      <c r="K347" s="6" t="str">
        <f>IFERROR(__xludf.DUMMYFUNCTION("""COMPUTED_VALUE"""),"Jl. Y. Wayong No. 13F")</f>
        <v>Jl. Y. Wayong No. 13F</v>
      </c>
      <c r="N347" s="8" t="s">
        <v>19</v>
      </c>
      <c r="R347" s="7" t="str">
        <f>IFERROR(__xludf.DUMMYFUNCTION("""COMPUTED_VALUE"""),"K")</f>
        <v>K</v>
      </c>
    </row>
    <row r="348" ht="22.5" customHeight="1">
      <c r="A348" s="6">
        <v>347.0</v>
      </c>
      <c r="B348" s="6" t="str">
        <f>IFERROR(__xludf.DUMMYFUNCTION("""COMPUTED_VALUE"""),"Pengelola Administrasi Perkantoran")</f>
        <v>Pengelola Administrasi Perkantoran</v>
      </c>
      <c r="C348" s="6" t="str">
        <f>IFERROR(__xludf.DUMMYFUNCTION("""COMPUTED_VALUE"""),"SMK Negeri 1 Kendari")</f>
        <v>SMK Negeri 1 Kendari</v>
      </c>
      <c r="F348" s="6" t="str">
        <f>IFERROR(__xludf.DUMMYFUNCTION("""COMPUTED_VALUE"""),"Zeyna Maylika Putri")</f>
        <v>Zeyna Maylika Putri</v>
      </c>
      <c r="G348" s="6" t="str">
        <f>IFERROR(__xludf.DUMMYFUNCTION("""COMPUTED_VALUE"""),"7471086505080001")</f>
        <v>7471086505080001</v>
      </c>
      <c r="J348" s="7" t="str">
        <f>IFERROR(__xludf.DUMMYFUNCTION("""COMPUTED_VALUE"""),"PEREMPUAN")</f>
        <v>PEREMPUAN</v>
      </c>
      <c r="K348" s="6" t="str">
        <f>IFERROR(__xludf.DUMMYFUNCTION("""COMPUTED_VALUE"""),"Jl. Nudi Utomo Lr. Ikhlas")</f>
        <v>Jl. Nudi Utomo Lr. Ikhlas</v>
      </c>
      <c r="N348" s="8" t="s">
        <v>19</v>
      </c>
      <c r="R348" s="7" t="str">
        <f>IFERROR(__xludf.DUMMYFUNCTION("""COMPUTED_VALUE"""),"K")</f>
        <v>K</v>
      </c>
    </row>
    <row r="349" ht="22.5" customHeight="1">
      <c r="A349" s="6">
        <v>348.0</v>
      </c>
      <c r="B349" s="6" t="str">
        <f>IFERROR(__xludf.DUMMYFUNCTION("""COMPUTED_VALUE"""),"Pengelola Administrasi Perkantoran")</f>
        <v>Pengelola Administrasi Perkantoran</v>
      </c>
      <c r="C349" s="6" t="str">
        <f>IFERROR(__xludf.DUMMYFUNCTION("""COMPUTED_VALUE"""),"SMK Negeri 1 Kendari")</f>
        <v>SMK Negeri 1 Kendari</v>
      </c>
      <c r="F349" s="6" t="str">
        <f>IFERROR(__xludf.DUMMYFUNCTION("""COMPUTED_VALUE"""),"AISYAH JULIA DP")</f>
        <v>AISYAH JULIA DP</v>
      </c>
      <c r="G349" s="6" t="str">
        <f>IFERROR(__xludf.DUMMYFUNCTION("""COMPUTED_VALUE"""),"7471017112020003")</f>
        <v>7471017112020003</v>
      </c>
      <c r="J349" s="7" t="str">
        <f>IFERROR(__xludf.DUMMYFUNCTION("""COMPUTED_VALUE"""),"PEREMPUAN")</f>
        <v>PEREMPUAN</v>
      </c>
      <c r="K349" s="6" t="str">
        <f>IFERROR(__xludf.DUMMYFUNCTION("""COMPUTED_VALUE"""),"Alolama, Jl. Bersih Hatiku")</f>
        <v>Alolama, Jl. Bersih Hatiku</v>
      </c>
      <c r="N349" s="8" t="s">
        <v>19</v>
      </c>
      <c r="R349" s="7" t="str">
        <f>IFERROR(__xludf.DUMMYFUNCTION("""COMPUTED_VALUE"""),"K")</f>
        <v>K</v>
      </c>
    </row>
    <row r="350" ht="22.5" customHeight="1">
      <c r="A350" s="6">
        <v>349.0</v>
      </c>
      <c r="B350" s="6" t="str">
        <f>IFERROR(__xludf.DUMMYFUNCTION("""COMPUTED_VALUE"""),"Pengelola Administrasi Perkantoran")</f>
        <v>Pengelola Administrasi Perkantoran</v>
      </c>
      <c r="C350" s="6" t="str">
        <f>IFERROR(__xludf.DUMMYFUNCTION("""COMPUTED_VALUE"""),"SMK Negeri 1 Kendari")</f>
        <v>SMK Negeri 1 Kendari</v>
      </c>
      <c r="F350" s="6" t="str">
        <f>IFERROR(__xludf.DUMMYFUNCTION("""COMPUTED_VALUE"""),"Andi Amanda Rezky Oktaviani")</f>
        <v>Andi Amanda Rezky Oktaviani</v>
      </c>
      <c r="G350" s="6" t="str">
        <f>IFERROR(__xludf.DUMMYFUNCTION("""COMPUTED_VALUE"""),"7471086910080002")</f>
        <v>7471086910080002</v>
      </c>
      <c r="J350" s="7" t="str">
        <f>IFERROR(__xludf.DUMMYFUNCTION("""COMPUTED_VALUE"""),"PEREMPUAN")</f>
        <v>PEREMPUAN</v>
      </c>
      <c r="K350" s="6" t="str">
        <f>IFERROR(__xludf.DUMMYFUNCTION("""COMPUTED_VALUE"""),"Jalan Malik Raga 1, No 111 Kendari")</f>
        <v>Jalan Malik Raga 1, No 111 Kendari</v>
      </c>
      <c r="N350" s="8" t="s">
        <v>19</v>
      </c>
      <c r="R350" s="7" t="str">
        <f>IFERROR(__xludf.DUMMYFUNCTION("""COMPUTED_VALUE"""),"BK")</f>
        <v>BK</v>
      </c>
    </row>
    <row r="351" ht="22.5" customHeight="1">
      <c r="A351" s="6">
        <v>350.0</v>
      </c>
      <c r="B351" s="6" t="str">
        <f>IFERROR(__xludf.DUMMYFUNCTION("""COMPUTED_VALUE"""),"Pengelola Administrasi Perkantoran")</f>
        <v>Pengelola Administrasi Perkantoran</v>
      </c>
      <c r="C351" s="6" t="str">
        <f>IFERROR(__xludf.DUMMYFUNCTION("""COMPUTED_VALUE"""),"SMK Negeri 1 Kendari")</f>
        <v>SMK Negeri 1 Kendari</v>
      </c>
      <c r="F351" s="6" t="str">
        <f>IFERROR(__xludf.DUMMYFUNCTION("""COMPUTED_VALUE"""),"CAMELIA GLADIS")</f>
        <v>CAMELIA GLADIS</v>
      </c>
      <c r="G351" s="6" t="str">
        <f>IFERROR(__xludf.DUMMYFUNCTION("""COMPUTED_VALUE"""),"7403276310080001")</f>
        <v>7403276310080001</v>
      </c>
      <c r="J351" s="7" t="str">
        <f>IFERROR(__xludf.DUMMYFUNCTION("""COMPUTED_VALUE"""),"PEREMPUAN")</f>
        <v>PEREMPUAN</v>
      </c>
      <c r="K351" s="6" t="str">
        <f>IFERROR(__xludf.DUMMYFUNCTION("""COMPUTED_VALUE"""),"Jl Imam Bonjol")</f>
        <v>Jl Imam Bonjol</v>
      </c>
      <c r="N351" s="8" t="s">
        <v>19</v>
      </c>
      <c r="R351" s="7" t="str">
        <f>IFERROR(__xludf.DUMMYFUNCTION("""COMPUTED_VALUE"""),"K")</f>
        <v>K</v>
      </c>
    </row>
    <row r="352" ht="22.5" customHeight="1">
      <c r="A352" s="6">
        <v>351.0</v>
      </c>
      <c r="B352" s="6" t="str">
        <f>IFERROR(__xludf.DUMMYFUNCTION("""COMPUTED_VALUE"""),"Pengelola Administrasi Perkantoran")</f>
        <v>Pengelola Administrasi Perkantoran</v>
      </c>
      <c r="C352" s="6" t="str">
        <f>IFERROR(__xludf.DUMMYFUNCTION("""COMPUTED_VALUE"""),"SMK Negeri 1 Kendari")</f>
        <v>SMK Negeri 1 Kendari</v>
      </c>
      <c r="F352" s="6" t="str">
        <f>IFERROR(__xludf.DUMMYFUNCTION("""COMPUTED_VALUE"""),"INTAN PUJI LESTARI")</f>
        <v>INTAN PUJI LESTARI</v>
      </c>
      <c r="G352" s="6" t="str">
        <f>IFERROR(__xludf.DUMMYFUNCTION("""COMPUTED_VALUE"""),"7471055801090001")</f>
        <v>7471055801090001</v>
      </c>
      <c r="J352" s="7" t="str">
        <f>IFERROR(__xludf.DUMMYFUNCTION("""COMPUTED_VALUE"""),"PEREMPUAN")</f>
        <v>PEREMPUAN</v>
      </c>
      <c r="K352" s="6" t="str">
        <f>IFERROR(__xludf.DUMMYFUNCTION("""COMPUTED_VALUE"""),"Jl. Dr. Moh. Hatta")</f>
        <v>Jl. Dr. Moh. Hatta</v>
      </c>
      <c r="N352" s="8" t="s">
        <v>19</v>
      </c>
      <c r="R352" s="7" t="str">
        <f>IFERROR(__xludf.DUMMYFUNCTION("""COMPUTED_VALUE"""),"K")</f>
        <v>K</v>
      </c>
    </row>
    <row r="353" ht="22.5" customHeight="1">
      <c r="A353" s="6">
        <v>352.0</v>
      </c>
      <c r="B353" s="6" t="str">
        <f>IFERROR(__xludf.DUMMYFUNCTION("""COMPUTED_VALUE"""),"Pengelola Administrasi Perkantoran")</f>
        <v>Pengelola Administrasi Perkantoran</v>
      </c>
      <c r="C353" s="6" t="str">
        <f>IFERROR(__xludf.DUMMYFUNCTION("""COMPUTED_VALUE"""),"SMK Negeri 1 Kendari")</f>
        <v>SMK Negeri 1 Kendari</v>
      </c>
      <c r="F353" s="6" t="str">
        <f>IFERROR(__xludf.DUMMYFUNCTION("""COMPUTED_VALUE"""),"NI KADE AYU PERMATA")</f>
        <v>NI KADE AYU PERMATA</v>
      </c>
      <c r="G353" s="6" t="str">
        <f>IFERROR(__xludf.DUMMYFUNCTION("""COMPUTED_VALUE"""),"7405055405070001")</f>
        <v>7405055405070001</v>
      </c>
      <c r="J353" s="7" t="str">
        <f>IFERROR(__xludf.DUMMYFUNCTION("""COMPUTED_VALUE"""),"PEREMPUAN")</f>
        <v>PEREMPUAN</v>
      </c>
      <c r="K353" s="6" t="str">
        <f>IFERROR(__xludf.DUMMYFUNCTION("""COMPUTED_VALUE"""),"Jalan Mekar Mawar")</f>
        <v>Jalan Mekar Mawar</v>
      </c>
      <c r="N353" s="8" t="s">
        <v>19</v>
      </c>
      <c r="R353" s="7" t="str">
        <f>IFERROR(__xludf.DUMMYFUNCTION("""COMPUTED_VALUE"""),"K")</f>
        <v>K</v>
      </c>
    </row>
    <row r="354" ht="22.5" customHeight="1">
      <c r="A354" s="6">
        <v>353.0</v>
      </c>
      <c r="B354" s="6" t="str">
        <f>IFERROR(__xludf.DUMMYFUNCTION("""COMPUTED_VALUE"""),"Pengelola Administrasi Perkantoran")</f>
        <v>Pengelola Administrasi Perkantoran</v>
      </c>
      <c r="C354" s="6" t="str">
        <f>IFERROR(__xludf.DUMMYFUNCTION("""COMPUTED_VALUE"""),"SMK Negeri 1 Kendari")</f>
        <v>SMK Negeri 1 Kendari</v>
      </c>
      <c r="F354" s="6" t="str">
        <f>IFERROR(__xludf.DUMMYFUNCTION("""COMPUTED_VALUE"""),"Nirmala Septa Ramadhani")</f>
        <v>Nirmala Septa Ramadhani</v>
      </c>
      <c r="G354" s="6" t="str">
        <f>IFERROR(__xludf.DUMMYFUNCTION("""COMPUTED_VALUE"""),"7471016209080001")</f>
        <v>7471016209080001</v>
      </c>
      <c r="J354" s="7" t="str">
        <f>IFERROR(__xludf.DUMMYFUNCTION("""COMPUTED_VALUE"""),"PEREMPUAN")</f>
        <v>PEREMPUAN</v>
      </c>
      <c r="K354" s="6" t="str">
        <f>IFERROR(__xludf.DUMMYFUNCTION("""COMPUTED_VALUE"""),"Jl. Supu Yusuf 7")</f>
        <v>Jl. Supu Yusuf 7</v>
      </c>
      <c r="N354" s="8" t="s">
        <v>19</v>
      </c>
      <c r="R354" s="7" t="str">
        <f>IFERROR(__xludf.DUMMYFUNCTION("""COMPUTED_VALUE"""),"K")</f>
        <v>K</v>
      </c>
    </row>
    <row r="355" ht="22.5" customHeight="1">
      <c r="A355" s="6">
        <v>354.0</v>
      </c>
      <c r="B355" s="6" t="str">
        <f>IFERROR(__xludf.DUMMYFUNCTION("""COMPUTED_VALUE"""),"Pengelola Administrasi Perkantoran")</f>
        <v>Pengelola Administrasi Perkantoran</v>
      </c>
      <c r="C355" s="6" t="str">
        <f>IFERROR(__xludf.DUMMYFUNCTION("""COMPUTED_VALUE"""),"SMK Negeri 1 Kendari")</f>
        <v>SMK Negeri 1 Kendari</v>
      </c>
      <c r="F355" s="6" t="str">
        <f>IFERROR(__xludf.DUMMYFUNCTION("""COMPUTED_VALUE"""),"SAFIRA PRATIWI")</f>
        <v>SAFIRA PRATIWI</v>
      </c>
      <c r="G355" s="6" t="str">
        <f>IFERROR(__xludf.DUMMYFUNCTION("""COMPUTED_VALUE"""),"7471014406080003")</f>
        <v>7471014406080003</v>
      </c>
      <c r="J355" s="7" t="str">
        <f>IFERROR(__xludf.DUMMYFUNCTION("""COMPUTED_VALUE"""),"PEREMPUAN")</f>
        <v>PEREMPUAN</v>
      </c>
      <c r="K355" s="6" t="str">
        <f>IFERROR(__xludf.DUMMYFUNCTION("""COMPUTED_VALUE"""),"Jalan Syech Yusuf")</f>
        <v>Jalan Syech Yusuf</v>
      </c>
      <c r="N355" s="8" t="s">
        <v>19</v>
      </c>
      <c r="R355" s="7" t="str">
        <f>IFERROR(__xludf.DUMMYFUNCTION("""COMPUTED_VALUE"""),"K")</f>
        <v>K</v>
      </c>
    </row>
    <row r="356" ht="22.5" customHeight="1">
      <c r="A356" s="6">
        <v>355.0</v>
      </c>
      <c r="B356" s="6" t="str">
        <f>IFERROR(__xludf.DUMMYFUNCTION("""COMPUTED_VALUE"""),"Pengelola Administrasi Perkantoran")</f>
        <v>Pengelola Administrasi Perkantoran</v>
      </c>
      <c r="C356" s="6" t="str">
        <f>IFERROR(__xludf.DUMMYFUNCTION("""COMPUTED_VALUE"""),"SMK Negeri 1 Kendari")</f>
        <v>SMK Negeri 1 Kendari</v>
      </c>
      <c r="F356" s="6" t="str">
        <f>IFERROR(__xludf.DUMMYFUNCTION("""COMPUTED_VALUE"""),"SYIFA AZAHRA")</f>
        <v>SYIFA AZAHRA</v>
      </c>
      <c r="G356" s="6" t="str">
        <f>IFERROR(__xludf.DUMMYFUNCTION("""COMPUTED_VALUE"""),"7402344105080001")</f>
        <v>7402344105080001</v>
      </c>
      <c r="J356" s="7" t="str">
        <f>IFERROR(__xludf.DUMMYFUNCTION("""COMPUTED_VALUE"""),"PEREMPUAN")</f>
        <v>PEREMPUAN</v>
      </c>
      <c r="K356" s="6" t="str">
        <f>IFERROR(__xludf.DUMMYFUNCTION("""COMPUTED_VALUE"""),"Desa Sinaulu Jaya")</f>
        <v>Desa Sinaulu Jaya</v>
      </c>
      <c r="N356" s="8" t="s">
        <v>19</v>
      </c>
      <c r="R356" s="7" t="str">
        <f>IFERROR(__xludf.DUMMYFUNCTION("""COMPUTED_VALUE"""),"K")</f>
        <v>K</v>
      </c>
    </row>
    <row r="357" ht="22.5" customHeight="1">
      <c r="A357" s="6">
        <v>356.0</v>
      </c>
      <c r="B357" s="6" t="str">
        <f>IFERROR(__xludf.DUMMYFUNCTION("""COMPUTED_VALUE"""),"Pengelola Administrasi Perkantoran")</f>
        <v>Pengelola Administrasi Perkantoran</v>
      </c>
      <c r="C357" s="6" t="str">
        <f>IFERROR(__xludf.DUMMYFUNCTION("""COMPUTED_VALUE"""),"SMK Negeri 1 Kendari")</f>
        <v>SMK Negeri 1 Kendari</v>
      </c>
      <c r="F357" s="6" t="str">
        <f>IFERROR(__xludf.DUMMYFUNCTION("""COMPUTED_VALUE"""),"FAUZI REZKI ILHAM")</f>
        <v>FAUZI REZKI ILHAM</v>
      </c>
      <c r="G357" s="6" t="str">
        <f>IFERROR(__xludf.DUMMYFUNCTION("""COMPUTED_VALUE"""),"7471012305080003")</f>
        <v>7471012305080003</v>
      </c>
      <c r="J357" s="7" t="str">
        <f>IFERROR(__xludf.DUMMYFUNCTION("""COMPUTED_VALUE"""),"LAKI-LAKI")</f>
        <v>LAKI-LAKI</v>
      </c>
      <c r="K357" s="6" t="str">
        <f>IFERROR(__xludf.DUMMYFUNCTION("""COMPUTED_VALUE"""),"Jalan Malik 1 No 14")</f>
        <v>Jalan Malik 1 No 14</v>
      </c>
      <c r="N357" s="8" t="s">
        <v>19</v>
      </c>
      <c r="R357" s="7" t="str">
        <f>IFERROR(__xludf.DUMMYFUNCTION("""COMPUTED_VALUE"""),"K")</f>
        <v>K</v>
      </c>
    </row>
    <row r="358" ht="22.5" customHeight="1">
      <c r="A358" s="6">
        <v>357.0</v>
      </c>
      <c r="B358" s="6" t="str">
        <f>IFERROR(__xludf.DUMMYFUNCTION("""COMPUTED_VALUE"""),"Pengelola Administrasi Perkantoran")</f>
        <v>Pengelola Administrasi Perkantoran</v>
      </c>
      <c r="C358" s="6" t="str">
        <f>IFERROR(__xludf.DUMMYFUNCTION("""COMPUTED_VALUE"""),"SMK Negeri 1 Kendari")</f>
        <v>SMK Negeri 1 Kendari</v>
      </c>
      <c r="F358" s="6" t="str">
        <f>IFERROR(__xludf.DUMMYFUNCTION("""COMPUTED_VALUE"""),"Adinda Cleo Apriliskha Wardani")</f>
        <v>Adinda Cleo Apriliskha Wardani</v>
      </c>
      <c r="G358" s="6" t="str">
        <f>IFERROR(__xludf.DUMMYFUNCTION("""COMPUTED_VALUE"""),"7471056604080002")</f>
        <v>7471056604080002</v>
      </c>
      <c r="J358" s="7" t="str">
        <f>IFERROR(__xludf.DUMMYFUNCTION("""COMPUTED_VALUE"""),"PEREMPUAN")</f>
        <v>PEREMPUAN</v>
      </c>
      <c r="K358" s="6" t="str">
        <f>IFERROR(__xludf.DUMMYFUNCTION("""COMPUTED_VALUE"""),"Jl. Tunggala No.17")</f>
        <v>Jl. Tunggala No.17</v>
      </c>
      <c r="N358" s="8" t="s">
        <v>19</v>
      </c>
      <c r="R358" s="7" t="str">
        <f>IFERROR(__xludf.DUMMYFUNCTION("""COMPUTED_VALUE"""),"K")</f>
        <v>K</v>
      </c>
    </row>
    <row r="359" ht="22.5" customHeight="1">
      <c r="A359" s="6">
        <v>358.0</v>
      </c>
      <c r="B359" s="6" t="str">
        <f>IFERROR(__xludf.DUMMYFUNCTION("""COMPUTED_VALUE"""),"Pengelola Administrasi Perkantoran")</f>
        <v>Pengelola Administrasi Perkantoran</v>
      </c>
      <c r="C359" s="6" t="str">
        <f>IFERROR(__xludf.DUMMYFUNCTION("""COMPUTED_VALUE"""),"SMK Negeri 1 Kendari")</f>
        <v>SMK Negeri 1 Kendari</v>
      </c>
      <c r="F359" s="6" t="str">
        <f>IFERROR(__xludf.DUMMYFUNCTION("""COMPUTED_VALUE"""),"AUFAR ADHLY")</f>
        <v>AUFAR ADHLY</v>
      </c>
      <c r="G359" s="6" t="str">
        <f>IFERROR(__xludf.DUMMYFUNCTION("""COMPUTED_VALUE"""),"7471081507080001")</f>
        <v>7471081507080001</v>
      </c>
      <c r="J359" s="7" t="str">
        <f>IFERROR(__xludf.DUMMYFUNCTION("""COMPUTED_VALUE"""),"LAKI-LAKI")</f>
        <v>LAKI-LAKI</v>
      </c>
      <c r="K359" s="6" t="str">
        <f>IFERROR(__xludf.DUMMYFUNCTION("""COMPUTED_VALUE"""),"Jalan Ahmad Yani Lrg Lakidende")</f>
        <v>Jalan Ahmad Yani Lrg Lakidende</v>
      </c>
      <c r="N359" s="8" t="s">
        <v>19</v>
      </c>
      <c r="R359" s="7" t="str">
        <f>IFERROR(__xludf.DUMMYFUNCTION("""COMPUTED_VALUE"""),"K")</f>
        <v>K</v>
      </c>
    </row>
    <row r="360" ht="22.5" customHeight="1">
      <c r="A360" s="6">
        <v>359.0</v>
      </c>
      <c r="B360" s="6" t="str">
        <f>IFERROR(__xludf.DUMMYFUNCTION("""COMPUTED_VALUE"""),"Pengelola Administrasi Perkantoran")</f>
        <v>Pengelola Administrasi Perkantoran</v>
      </c>
      <c r="C360" s="6" t="str">
        <f>IFERROR(__xludf.DUMMYFUNCTION("""COMPUTED_VALUE"""),"SMK Negeri 1 Kendari")</f>
        <v>SMK Negeri 1 Kendari</v>
      </c>
      <c r="F360" s="6" t="str">
        <f>IFERROR(__xludf.DUMMYFUNCTION("""COMPUTED_VALUE"""),"BIYAN GADIS PRATIWI")</f>
        <v>BIYAN GADIS PRATIWI</v>
      </c>
      <c r="G360" s="6" t="str">
        <f>IFERROR(__xludf.DUMMYFUNCTION("""COMPUTED_VALUE"""),"3507275205080001")</f>
        <v>3507275205080001</v>
      </c>
      <c r="J360" s="7" t="str">
        <f>IFERROR(__xludf.DUMMYFUNCTION("""COMPUTED_VALUE"""),"PEREMPUAN")</f>
        <v>PEREMPUAN</v>
      </c>
      <c r="K360" s="6" t="str">
        <f>IFERROR(__xludf.DUMMYFUNCTION("""COMPUTED_VALUE"""),"BTN New Baruga Regency, Wundudopi, Baruga")</f>
        <v>BTN New Baruga Regency, Wundudopi, Baruga</v>
      </c>
      <c r="N360" s="8" t="s">
        <v>19</v>
      </c>
      <c r="R360" s="7" t="str">
        <f>IFERROR(__xludf.DUMMYFUNCTION("""COMPUTED_VALUE"""),"K")</f>
        <v>K</v>
      </c>
    </row>
    <row r="361" ht="22.5" customHeight="1">
      <c r="A361" s="6">
        <v>360.0</v>
      </c>
      <c r="B361" s="6" t="str">
        <f>IFERROR(__xludf.DUMMYFUNCTION("""COMPUTED_VALUE"""),"Pengelola Administrasi Perkantoran")</f>
        <v>Pengelola Administrasi Perkantoran</v>
      </c>
      <c r="C361" s="6" t="str">
        <f>IFERROR(__xludf.DUMMYFUNCTION("""COMPUTED_VALUE"""),"SMK Negeri 1 Kendari")</f>
        <v>SMK Negeri 1 Kendari</v>
      </c>
      <c r="F361" s="6" t="str">
        <f>IFERROR(__xludf.DUMMYFUNCTION("""COMPUTED_VALUE"""),"CHINTYA QUENE AL SYAFIRA")</f>
        <v>CHINTYA QUENE AL SYAFIRA</v>
      </c>
      <c r="G361" s="6" t="str">
        <f>IFERROR(__xludf.DUMMYFUNCTION("""COMPUTED_VALUE"""),"7471055501090002")</f>
        <v>7471055501090002</v>
      </c>
      <c r="J361" s="7" t="str">
        <f>IFERROR(__xludf.DUMMYFUNCTION("""COMPUTED_VALUE"""),"PEREMPUAN")</f>
        <v>PEREMPUAN</v>
      </c>
      <c r="K361" s="6" t="str">
        <f>IFERROR(__xludf.DUMMYFUNCTION("""COMPUTED_VALUE"""),"Ranomeeto, Jl. Anawai")</f>
        <v>Ranomeeto, Jl. Anawai</v>
      </c>
      <c r="N361" s="8" t="s">
        <v>19</v>
      </c>
      <c r="R361" s="7" t="str">
        <f>IFERROR(__xludf.DUMMYFUNCTION("""COMPUTED_VALUE"""),"K")</f>
        <v>K</v>
      </c>
    </row>
    <row r="362" ht="22.5" customHeight="1">
      <c r="A362" s="6">
        <v>361.0</v>
      </c>
      <c r="B362" s="6" t="str">
        <f>IFERROR(__xludf.DUMMYFUNCTION("""COMPUTED_VALUE"""),"Pengelola Administrasi Perkantoran")</f>
        <v>Pengelola Administrasi Perkantoran</v>
      </c>
      <c r="C362" s="6" t="str">
        <f>IFERROR(__xludf.DUMMYFUNCTION("""COMPUTED_VALUE"""),"SMK Negeri 1 Kendari")</f>
        <v>SMK Negeri 1 Kendari</v>
      </c>
      <c r="F362" s="6" t="str">
        <f>IFERROR(__xludf.DUMMYFUNCTION("""COMPUTED_VALUE"""),"De Ulfy Haseb")</f>
        <v>De Ulfy Haseb</v>
      </c>
      <c r="G362" s="6" t="str">
        <f>IFERROR(__xludf.DUMMYFUNCTION("""COMPUTED_VALUE"""),"7471086005080001")</f>
        <v>7471086005080001</v>
      </c>
      <c r="J362" s="7" t="str">
        <f>IFERROR(__xludf.DUMMYFUNCTION("""COMPUTED_VALUE"""),"PEREMPUAN")</f>
        <v>PEREMPUAN</v>
      </c>
      <c r="K362" s="6" t="str">
        <f>IFERROR(__xludf.DUMMYFUNCTION("""COMPUTED_VALUE"""),"Jl. La Ode Hadi (Lorong Veteran)")</f>
        <v>Jl. La Ode Hadi (Lorong Veteran)</v>
      </c>
      <c r="N362" s="8" t="s">
        <v>19</v>
      </c>
      <c r="R362" s="7" t="str">
        <f>IFERROR(__xludf.DUMMYFUNCTION("""COMPUTED_VALUE"""),"K")</f>
        <v>K</v>
      </c>
    </row>
    <row r="363" ht="22.5" customHeight="1">
      <c r="A363" s="6">
        <v>362.0</v>
      </c>
      <c r="B363" s="6" t="str">
        <f>IFERROR(__xludf.DUMMYFUNCTION("""COMPUTED_VALUE"""),"Pengelola Administrasi Perkantoran")</f>
        <v>Pengelola Administrasi Perkantoran</v>
      </c>
      <c r="C363" s="6" t="str">
        <f>IFERROR(__xludf.DUMMYFUNCTION("""COMPUTED_VALUE"""),"SMK Negeri 1 Kendari")</f>
        <v>SMK Negeri 1 Kendari</v>
      </c>
      <c r="F363" s="6" t="str">
        <f>IFERROR(__xludf.DUMMYFUNCTION("""COMPUTED_VALUE"""),"Harianto")</f>
        <v>Harianto</v>
      </c>
      <c r="G363" s="6" t="str">
        <f>IFERROR(__xludf.DUMMYFUNCTION("""COMPUTED_VALUE"""),"7206152605070001")</f>
        <v>7206152605070001</v>
      </c>
      <c r="J363" s="7" t="str">
        <f>IFERROR(__xludf.DUMMYFUNCTION("""COMPUTED_VALUE"""),"LAKI-LAKI")</f>
        <v>LAKI-LAKI</v>
      </c>
      <c r="K363" s="6" t="str">
        <f>IFERROR(__xludf.DUMMYFUNCTION("""COMPUTED_VALUE"""),"-")</f>
        <v>-</v>
      </c>
      <c r="N363" s="8" t="s">
        <v>19</v>
      </c>
      <c r="R363" s="7" t="str">
        <f>IFERROR(__xludf.DUMMYFUNCTION("""COMPUTED_VALUE"""),"K")</f>
        <v>K</v>
      </c>
    </row>
    <row r="364" ht="22.5" customHeight="1">
      <c r="A364" s="6">
        <v>363.0</v>
      </c>
      <c r="B364" s="6" t="str">
        <f>IFERROR(__xludf.DUMMYFUNCTION("""COMPUTED_VALUE"""),"Pengelola Administrasi Perkantoran")</f>
        <v>Pengelola Administrasi Perkantoran</v>
      </c>
      <c r="C364" s="6" t="str">
        <f>IFERROR(__xludf.DUMMYFUNCTION("""COMPUTED_VALUE"""),"SMK Negeri 1 Kendari")</f>
        <v>SMK Negeri 1 Kendari</v>
      </c>
      <c r="F364" s="6" t="str">
        <f>IFERROR(__xludf.DUMMYFUNCTION("""COMPUTED_VALUE"""),"HELFIANA PUTRI PRADIMA")</f>
        <v>HELFIANA PUTRI PRADIMA</v>
      </c>
      <c r="G364" s="6" t="str">
        <f>IFERROR(__xludf.DUMMYFUNCTION("""COMPUTED_VALUE"""),"7471085511080001")</f>
        <v>7471085511080001</v>
      </c>
      <c r="J364" s="7" t="str">
        <f>IFERROR(__xludf.DUMMYFUNCTION("""COMPUTED_VALUE"""),"PEREMPUAN")</f>
        <v>PEREMPUAN</v>
      </c>
      <c r="K364" s="6" t="str">
        <f>IFERROR(__xludf.DUMMYFUNCTION("""COMPUTED_VALUE"""),"BTN PNS Baruga")</f>
        <v>BTN PNS Baruga</v>
      </c>
      <c r="N364" s="8" t="s">
        <v>19</v>
      </c>
      <c r="R364" s="7" t="str">
        <f>IFERROR(__xludf.DUMMYFUNCTION("""COMPUTED_VALUE"""),"K")</f>
        <v>K</v>
      </c>
    </row>
    <row r="365" ht="22.5" customHeight="1">
      <c r="A365" s="6">
        <v>364.0</v>
      </c>
      <c r="B365" s="6" t="str">
        <f>IFERROR(__xludf.DUMMYFUNCTION("""COMPUTED_VALUE"""),"Pengelola Administrasi Perkantoran")</f>
        <v>Pengelola Administrasi Perkantoran</v>
      </c>
      <c r="C365" s="6" t="str">
        <f>IFERROR(__xludf.DUMMYFUNCTION("""COMPUTED_VALUE"""),"SMK Negeri 1 Kendari")</f>
        <v>SMK Negeri 1 Kendari</v>
      </c>
      <c r="F365" s="6" t="str">
        <f>IFERROR(__xludf.DUMMYFUNCTION("""COMPUTED_VALUE"""),"Jumriani")</f>
        <v>Jumriani</v>
      </c>
      <c r="G365" s="6" t="str">
        <f>IFERROR(__xludf.DUMMYFUNCTION("""COMPUTED_VALUE"""),"7471086802080002")</f>
        <v>7471086802080002</v>
      </c>
      <c r="J365" s="7" t="str">
        <f>IFERROR(__xludf.DUMMYFUNCTION("""COMPUTED_VALUE"""),"PEREMPUAN")</f>
        <v>PEREMPUAN</v>
      </c>
      <c r="K365" s="6" t="str">
        <f>IFERROR(__xludf.DUMMYFUNCTION("""COMPUTED_VALUE"""),"Jl. Supu Yusuf")</f>
        <v>Jl. Supu Yusuf</v>
      </c>
      <c r="N365" s="8" t="s">
        <v>19</v>
      </c>
      <c r="R365" s="7" t="str">
        <f>IFERROR(__xludf.DUMMYFUNCTION("""COMPUTED_VALUE"""),"K")</f>
        <v>K</v>
      </c>
    </row>
    <row r="366" ht="22.5" customHeight="1">
      <c r="A366" s="6">
        <v>365.0</v>
      </c>
      <c r="B366" s="6" t="str">
        <f>IFERROR(__xludf.DUMMYFUNCTION("""COMPUTED_VALUE"""),"Pengelola Administrasi Perkantoran")</f>
        <v>Pengelola Administrasi Perkantoran</v>
      </c>
      <c r="C366" s="6" t="str">
        <f>IFERROR(__xludf.DUMMYFUNCTION("""COMPUTED_VALUE"""),"SMK Negeri 1 Kendari")</f>
        <v>SMK Negeri 1 Kendari</v>
      </c>
      <c r="F366" s="6" t="str">
        <f>IFERROR(__xludf.DUMMYFUNCTION("""COMPUTED_VALUE"""),"KIRANA ZAKIYAH AZ-ZAHRA")</f>
        <v>KIRANA ZAKIYAH AZ-ZAHRA</v>
      </c>
      <c r="G366" s="6" t="str">
        <f>IFERROR(__xludf.DUMMYFUNCTION("""COMPUTED_VALUE"""),"7471054408080001")</f>
        <v>7471054408080001</v>
      </c>
      <c r="J366" s="7" t="str">
        <f>IFERROR(__xludf.DUMMYFUNCTION("""COMPUTED_VALUE"""),"PEREMPUAN")</f>
        <v>PEREMPUAN</v>
      </c>
      <c r="K366" s="6" t="str">
        <f>IFERROR(__xludf.DUMMYFUNCTION("""COMPUTED_VALUE"""),"Jl. Bunga Matahari II")</f>
        <v>Jl. Bunga Matahari II</v>
      </c>
      <c r="N366" s="8" t="s">
        <v>19</v>
      </c>
      <c r="R366" s="7" t="str">
        <f>IFERROR(__xludf.DUMMYFUNCTION("""COMPUTED_VALUE"""),"K")</f>
        <v>K</v>
      </c>
    </row>
    <row r="367" ht="22.5" customHeight="1">
      <c r="A367" s="6">
        <v>366.0</v>
      </c>
      <c r="B367" s="6" t="str">
        <f>IFERROR(__xludf.DUMMYFUNCTION("""COMPUTED_VALUE"""),"Pengelola Administrasi Perkantoran")</f>
        <v>Pengelola Administrasi Perkantoran</v>
      </c>
      <c r="C367" s="6" t="str">
        <f>IFERROR(__xludf.DUMMYFUNCTION("""COMPUTED_VALUE"""),"SMK Negeri 1 Kendari")</f>
        <v>SMK Negeri 1 Kendari</v>
      </c>
      <c r="F367" s="6" t="str">
        <f>IFERROR(__xludf.DUMMYFUNCTION("""COMPUTED_VALUE"""),"KRISWAN ROMBE")</f>
        <v>KRISWAN ROMBE</v>
      </c>
      <c r="G367" s="6" t="str">
        <f>IFERROR(__xludf.DUMMYFUNCTION("""COMPUTED_VALUE"""),"7409011005080002")</f>
        <v>7409011005080002</v>
      </c>
      <c r="J367" s="7" t="str">
        <f>IFERROR(__xludf.DUMMYFUNCTION("""COMPUTED_VALUE"""),"LAKI-LAKI")</f>
        <v>LAKI-LAKI</v>
      </c>
      <c r="K367" s="6" t="str">
        <f>IFERROR(__xludf.DUMMYFUNCTION("""COMPUTED_VALUE"""),"-")</f>
        <v>-</v>
      </c>
      <c r="N367" s="8" t="s">
        <v>19</v>
      </c>
      <c r="R367" s="7" t="str">
        <f>IFERROR(__xludf.DUMMYFUNCTION("""COMPUTED_VALUE"""),"K")</f>
        <v>K</v>
      </c>
    </row>
    <row r="368" ht="22.5" customHeight="1">
      <c r="A368" s="6">
        <v>367.0</v>
      </c>
      <c r="B368" s="6" t="str">
        <f>IFERROR(__xludf.DUMMYFUNCTION("""COMPUTED_VALUE"""),"Pengelola Administrasi Perkantoran")</f>
        <v>Pengelola Administrasi Perkantoran</v>
      </c>
      <c r="C368" s="6" t="str">
        <f>IFERROR(__xludf.DUMMYFUNCTION("""COMPUTED_VALUE"""),"SMK Negeri 1 Kendari")</f>
        <v>SMK Negeri 1 Kendari</v>
      </c>
      <c r="F368" s="6" t="str">
        <f>IFERROR(__xludf.DUMMYFUNCTION("""COMPUTED_VALUE"""),"LUNA SALWA")</f>
        <v>LUNA SALWA</v>
      </c>
      <c r="G368" s="6" t="str">
        <f>IFERROR(__xludf.DUMMYFUNCTION("""COMPUTED_VALUE"""),"7471016312080001")</f>
        <v>7471016312080001</v>
      </c>
      <c r="J368" s="7" t="str">
        <f>IFERROR(__xludf.DUMMYFUNCTION("""COMPUTED_VALUE"""),"PEREMPUAN")</f>
        <v>PEREMPUAN</v>
      </c>
      <c r="K368" s="6" t="str">
        <f>IFERROR(__xludf.DUMMYFUNCTION("""COMPUTED_VALUE"""),"Jl. Taman Suropati")</f>
        <v>Jl. Taman Suropati</v>
      </c>
      <c r="N368" s="8" t="s">
        <v>19</v>
      </c>
      <c r="R368" s="7" t="str">
        <f>IFERROR(__xludf.DUMMYFUNCTION("""COMPUTED_VALUE"""),"K")</f>
        <v>K</v>
      </c>
    </row>
    <row r="369" ht="22.5" customHeight="1">
      <c r="A369" s="6">
        <v>368.0</v>
      </c>
      <c r="B369" s="6" t="str">
        <f>IFERROR(__xludf.DUMMYFUNCTION("""COMPUTED_VALUE"""),"Pengelola Administrasi Perkantoran")</f>
        <v>Pengelola Administrasi Perkantoran</v>
      </c>
      <c r="C369" s="6" t="str">
        <f>IFERROR(__xludf.DUMMYFUNCTION("""COMPUTED_VALUE"""),"SMK Negeri 1 Kendari")</f>
        <v>SMK Negeri 1 Kendari</v>
      </c>
      <c r="F369" s="6" t="str">
        <f>IFERROR(__xludf.DUMMYFUNCTION("""COMPUTED_VALUE"""),"MUH. ALDAN PRATAMA")</f>
        <v>MUH. ALDAN PRATAMA</v>
      </c>
      <c r="G369" s="6" t="str">
        <f>IFERROR(__xludf.DUMMYFUNCTION("""COMPUTED_VALUE"""),"7471071808080001")</f>
        <v>7471071808080001</v>
      </c>
      <c r="J369" s="7" t="str">
        <f>IFERROR(__xludf.DUMMYFUNCTION("""COMPUTED_VALUE"""),"LAKI-LAKI")</f>
        <v>LAKI-LAKI</v>
      </c>
      <c r="K369" s="6" t="str">
        <f>IFERROR(__xludf.DUMMYFUNCTION("""COMPUTED_VALUE"""),"Jl. Gunung Melehu")</f>
        <v>Jl. Gunung Melehu</v>
      </c>
      <c r="N369" s="8" t="s">
        <v>19</v>
      </c>
      <c r="R369" s="7" t="str">
        <f>IFERROR(__xludf.DUMMYFUNCTION("""COMPUTED_VALUE"""),"K")</f>
        <v>K</v>
      </c>
    </row>
    <row r="370" ht="22.5" customHeight="1">
      <c r="A370" s="6">
        <v>369.0</v>
      </c>
      <c r="B370" s="6" t="str">
        <f>IFERROR(__xludf.DUMMYFUNCTION("""COMPUTED_VALUE"""),"Pengelola Administrasi Perkantoran")</f>
        <v>Pengelola Administrasi Perkantoran</v>
      </c>
      <c r="C370" s="6" t="str">
        <f>IFERROR(__xludf.DUMMYFUNCTION("""COMPUTED_VALUE"""),"SMK Negeri 1 Kendari")</f>
        <v>SMK Negeri 1 Kendari</v>
      </c>
      <c r="F370" s="6" t="str">
        <f>IFERROR(__xludf.DUMMYFUNCTION("""COMPUTED_VALUE"""),"MENTARI PUTRI CAHYANI")</f>
        <v>MENTARI PUTRI CAHYANI</v>
      </c>
      <c r="G370" s="6" t="str">
        <f>IFERROR(__xludf.DUMMYFUNCTION("""COMPUTED_VALUE"""),"7471087003070001")</f>
        <v>7471087003070001</v>
      </c>
      <c r="J370" s="7" t="str">
        <f>IFERROR(__xludf.DUMMYFUNCTION("""COMPUTED_VALUE"""),"PEREMPUAN")</f>
        <v>PEREMPUAN</v>
      </c>
      <c r="K370" s="6" t="str">
        <f>IFERROR(__xludf.DUMMYFUNCTION("""COMPUTED_VALUE"""),"Jl. K.H. Ahmad Dahlan")</f>
        <v>Jl. K.H. Ahmad Dahlan</v>
      </c>
      <c r="N370" s="8" t="s">
        <v>19</v>
      </c>
      <c r="R370" s="7" t="str">
        <f>IFERROR(__xludf.DUMMYFUNCTION("""COMPUTED_VALUE"""),"K")</f>
        <v>K</v>
      </c>
    </row>
    <row r="371" ht="22.5" customHeight="1">
      <c r="A371" s="6">
        <v>370.0</v>
      </c>
      <c r="B371" s="6" t="str">
        <f>IFERROR(__xludf.DUMMYFUNCTION("""COMPUTED_VALUE"""),"Pengelola Administrasi Perkantoran")</f>
        <v>Pengelola Administrasi Perkantoran</v>
      </c>
      <c r="C371" s="6" t="str">
        <f>IFERROR(__xludf.DUMMYFUNCTION("""COMPUTED_VALUE"""),"SMK Negeri 1 Kendari")</f>
        <v>SMK Negeri 1 Kendari</v>
      </c>
      <c r="F371" s="6" t="str">
        <f>IFERROR(__xludf.DUMMYFUNCTION("""COMPUTED_VALUE"""),"MUH. SYAHRUL SYA'BAN HASBA")</f>
        <v>MUH. SYAHRUL SYA'BAN HASBA</v>
      </c>
      <c r="G371" s="6" t="str">
        <f>IFERROR(__xludf.DUMMYFUNCTION("""COMPUTED_VALUE"""),"7471101908080001")</f>
        <v>7471101908080001</v>
      </c>
      <c r="J371" s="7" t="str">
        <f>IFERROR(__xludf.DUMMYFUNCTION("""COMPUTED_VALUE"""),"LAKI-LAKI")</f>
        <v>LAKI-LAKI</v>
      </c>
      <c r="K371" s="6" t="str">
        <f>IFERROR(__xludf.DUMMYFUNCTION("""COMPUTED_VALUE"""),"BTN Azatata Citra Blok G No.14")</f>
        <v>BTN Azatata Citra Blok G No.14</v>
      </c>
      <c r="N371" s="8" t="s">
        <v>19</v>
      </c>
      <c r="R371" s="7" t="str">
        <f>IFERROR(__xludf.DUMMYFUNCTION("""COMPUTED_VALUE"""),"K")</f>
        <v>K</v>
      </c>
    </row>
    <row r="372" ht="22.5" customHeight="1">
      <c r="A372" s="6">
        <v>371.0</v>
      </c>
      <c r="B372" s="6" t="str">
        <f>IFERROR(__xludf.DUMMYFUNCTION("""COMPUTED_VALUE"""),"Pengelola Administrasi Perkantoran")</f>
        <v>Pengelola Administrasi Perkantoran</v>
      </c>
      <c r="C372" s="6" t="str">
        <f>IFERROR(__xludf.DUMMYFUNCTION("""COMPUTED_VALUE"""),"SMK Negeri 1 Kendari")</f>
        <v>SMK Negeri 1 Kendari</v>
      </c>
      <c r="F372" s="6" t="str">
        <f>IFERROR(__xludf.DUMMYFUNCTION("""COMPUTED_VALUE"""),"MUHAMMAD FADHIL")</f>
        <v>MUHAMMAD FADHIL</v>
      </c>
      <c r="G372" s="6" t="str">
        <f>IFERROR(__xludf.DUMMYFUNCTION("""COMPUTED_VALUE"""),"7471012702090002")</f>
        <v>7471012702090002</v>
      </c>
      <c r="J372" s="7" t="str">
        <f>IFERROR(__xludf.DUMMYFUNCTION("""COMPUTED_VALUE"""),"LAKI-LAKI")</f>
        <v>LAKI-LAKI</v>
      </c>
      <c r="K372" s="6" t="str">
        <f>IFERROR(__xludf.DUMMYFUNCTION("""COMPUTED_VALUE"""),"Jl. Laute 2")</f>
        <v>Jl. Laute 2</v>
      </c>
      <c r="N372" s="8" t="s">
        <v>19</v>
      </c>
      <c r="R372" s="7" t="str">
        <f>IFERROR(__xludf.DUMMYFUNCTION("""COMPUTED_VALUE"""),"K")</f>
        <v>K</v>
      </c>
    </row>
    <row r="373" ht="22.5" customHeight="1">
      <c r="A373" s="6">
        <v>372.0</v>
      </c>
      <c r="B373" s="6" t="str">
        <f>IFERROR(__xludf.DUMMYFUNCTION("""COMPUTED_VALUE"""),"Pengelola Administrasi Perkantoran")</f>
        <v>Pengelola Administrasi Perkantoran</v>
      </c>
      <c r="C373" s="6" t="str">
        <f>IFERROR(__xludf.DUMMYFUNCTION("""COMPUTED_VALUE"""),"SMK Negeri 1 Kendari")</f>
        <v>SMK Negeri 1 Kendari</v>
      </c>
      <c r="F373" s="6" t="str">
        <f>IFERROR(__xludf.DUMMYFUNCTION("""COMPUTED_VALUE"""),"Muhammad Rezki Fausar")</f>
        <v>Muhammad Rezki Fausar</v>
      </c>
      <c r="G373" s="6" t="str">
        <f>IFERROR(__xludf.DUMMYFUNCTION("""COMPUTED_VALUE"""),"7471527200702001")</f>
        <v>7471527200702001</v>
      </c>
      <c r="J373" s="7" t="str">
        <f>IFERROR(__xludf.DUMMYFUNCTION("""COMPUTED_VALUE"""),"PEREMPUAN")</f>
        <v>PEREMPUAN</v>
      </c>
      <c r="K373" s="6" t="str">
        <f>IFERROR(__xludf.DUMMYFUNCTION("""COMPUTED_VALUE"""),"Jl. Lawata, Kel Tobuha, Kec. Puuwatu")</f>
        <v>Jl. Lawata, Kel Tobuha, Kec. Puuwatu</v>
      </c>
      <c r="N373" s="8" t="s">
        <v>19</v>
      </c>
      <c r="R373" s="7" t="str">
        <f>IFERROR(__xludf.DUMMYFUNCTION("""COMPUTED_VALUE"""),"K")</f>
        <v>K</v>
      </c>
    </row>
    <row r="374" ht="22.5" customHeight="1">
      <c r="A374" s="6">
        <v>373.0</v>
      </c>
      <c r="B374" s="6" t="str">
        <f>IFERROR(__xludf.DUMMYFUNCTION("""COMPUTED_VALUE"""),"Pengelola Administrasi Perkantoran")</f>
        <v>Pengelola Administrasi Perkantoran</v>
      </c>
      <c r="C374" s="6" t="str">
        <f>IFERROR(__xludf.DUMMYFUNCTION("""COMPUTED_VALUE"""),"SMK Negeri 1 Kendari")</f>
        <v>SMK Negeri 1 Kendari</v>
      </c>
      <c r="F374" s="6" t="str">
        <f>IFERROR(__xludf.DUMMYFUNCTION("""COMPUTED_VALUE"""),"NUR ROSDIANTI")</f>
        <v>NUR ROSDIANTI</v>
      </c>
      <c r="G374" s="6" t="str">
        <f>IFERROR(__xludf.DUMMYFUNCTION("""COMPUTED_VALUE"""),"7471016907080001")</f>
        <v>7471016907080001</v>
      </c>
      <c r="J374" s="7" t="str">
        <f>IFERROR(__xludf.DUMMYFUNCTION("""COMPUTED_VALUE"""),"PEREMPUAN")</f>
        <v>PEREMPUAN</v>
      </c>
      <c r="K374" s="6" t="str">
        <f>IFERROR(__xludf.DUMMYFUNCTION("""COMPUTED_VALUE"""),"Jl. Laute 2")</f>
        <v>Jl. Laute 2</v>
      </c>
      <c r="N374" s="8" t="s">
        <v>19</v>
      </c>
      <c r="R374" s="7" t="str">
        <f>IFERROR(__xludf.DUMMYFUNCTION("""COMPUTED_VALUE"""),"K")</f>
        <v>K</v>
      </c>
    </row>
    <row r="375" ht="22.5" customHeight="1">
      <c r="A375" s="6">
        <v>374.0</v>
      </c>
      <c r="B375" s="6" t="str">
        <f>IFERROR(__xludf.DUMMYFUNCTION("""COMPUTED_VALUE"""),"Pengelola Administrasi Perkantoran")</f>
        <v>Pengelola Administrasi Perkantoran</v>
      </c>
      <c r="C375" s="6" t="str">
        <f>IFERROR(__xludf.DUMMYFUNCTION("""COMPUTED_VALUE"""),"SMK Negeri 1 Kendari")</f>
        <v>SMK Negeri 1 Kendari</v>
      </c>
      <c r="F375" s="6" t="str">
        <f>IFERROR(__xludf.DUMMYFUNCTION("""COMPUTED_VALUE"""),"Putri Ayu Lestari")</f>
        <v>Putri Ayu Lestari</v>
      </c>
      <c r="G375" s="6" t="str">
        <f>IFERROR(__xludf.DUMMYFUNCTION("""COMPUTED_VALUE"""),"7402205712080001")</f>
        <v>7402205712080001</v>
      </c>
      <c r="J375" s="7" t="str">
        <f>IFERROR(__xludf.DUMMYFUNCTION("""COMPUTED_VALUE"""),"PEREMPUAN")</f>
        <v>PEREMPUAN</v>
      </c>
      <c r="K375" s="6" t="str">
        <f>IFERROR(__xludf.DUMMYFUNCTION("""COMPUTED_VALUE"""),"Perumahan Mega Amaliah")</f>
        <v>Perumahan Mega Amaliah</v>
      </c>
      <c r="N375" s="8" t="s">
        <v>19</v>
      </c>
      <c r="R375" s="7" t="str">
        <f>IFERROR(__xludf.DUMMYFUNCTION("""COMPUTED_VALUE"""),"K")</f>
        <v>K</v>
      </c>
    </row>
    <row r="376" ht="22.5" customHeight="1">
      <c r="A376" s="6">
        <v>375.0</v>
      </c>
      <c r="B376" s="6" t="str">
        <f>IFERROR(__xludf.DUMMYFUNCTION("""COMPUTED_VALUE"""),"Pengelola Administrasi Perkantoran")</f>
        <v>Pengelola Administrasi Perkantoran</v>
      </c>
      <c r="C376" s="6" t="str">
        <f>IFERROR(__xludf.DUMMYFUNCTION("""COMPUTED_VALUE"""),"SMK Negeri 1 Kendari")</f>
        <v>SMK Negeri 1 Kendari</v>
      </c>
      <c r="F376" s="6" t="str">
        <f>IFERROR(__xludf.DUMMYFUNCTION("""COMPUTED_VALUE"""),"Putri Marlinda Tamael")</f>
        <v>Putri Marlinda Tamael</v>
      </c>
      <c r="G376" s="6" t="str">
        <f>IFERROR(__xludf.DUMMYFUNCTION("""COMPUTED_VALUE"""),"7326105509080001")</f>
        <v>7326105509080001</v>
      </c>
      <c r="J376" s="7" t="str">
        <f>IFERROR(__xludf.DUMMYFUNCTION("""COMPUTED_VALUE"""),"PEREMPUAN")</f>
        <v>PEREMPUAN</v>
      </c>
      <c r="K376" s="6" t="str">
        <f>IFERROR(__xludf.DUMMYFUNCTION("""COMPUTED_VALUE"""),"Jl. Mekar Lr Damai")</f>
        <v>Jl. Mekar Lr Damai</v>
      </c>
      <c r="N376" s="8" t="s">
        <v>19</v>
      </c>
      <c r="R376" s="7" t="str">
        <f>IFERROR(__xludf.DUMMYFUNCTION("""COMPUTED_VALUE"""),"K")</f>
        <v>K</v>
      </c>
    </row>
    <row r="377" ht="22.5" customHeight="1">
      <c r="A377" s="6">
        <v>376.0</v>
      </c>
      <c r="B377" s="6" t="str">
        <f>IFERROR(__xludf.DUMMYFUNCTION("""COMPUTED_VALUE"""),"Pengelola Administrasi Perkantoran")</f>
        <v>Pengelola Administrasi Perkantoran</v>
      </c>
      <c r="C377" s="6" t="str">
        <f>IFERROR(__xludf.DUMMYFUNCTION("""COMPUTED_VALUE"""),"SMK Negeri 1 Kendari")</f>
        <v>SMK Negeri 1 Kendari</v>
      </c>
      <c r="F377" s="6" t="str">
        <f>IFERROR(__xludf.DUMMYFUNCTION("""COMPUTED_VALUE"""),"PUTRY PERMATA ASDAR")</f>
        <v>PUTRY PERMATA ASDAR</v>
      </c>
      <c r="G377" s="6" t="str">
        <f>IFERROR(__xludf.DUMMYFUNCTION("""COMPUTED_VALUE"""),"7471096705080001")</f>
        <v>7471096705080001</v>
      </c>
      <c r="J377" s="7" t="str">
        <f>IFERROR(__xludf.DUMMYFUNCTION("""COMPUTED_VALUE"""),"PEREMPUAN")</f>
        <v>PEREMPUAN</v>
      </c>
      <c r="K377" s="6" t="str">
        <f>IFERROR(__xludf.DUMMYFUNCTION("""COMPUTED_VALUE"""),"Jl. Bahagia 2")</f>
        <v>Jl. Bahagia 2</v>
      </c>
      <c r="N377" s="8" t="s">
        <v>19</v>
      </c>
      <c r="R377" s="7" t="str">
        <f>IFERROR(__xludf.DUMMYFUNCTION("""COMPUTED_VALUE"""),"K")</f>
        <v>K</v>
      </c>
    </row>
    <row r="378" ht="22.5" customHeight="1">
      <c r="A378" s="6">
        <v>377.0</v>
      </c>
      <c r="B378" s="6" t="str">
        <f>IFERROR(__xludf.DUMMYFUNCTION("""COMPUTED_VALUE"""),"Pengelola Administrasi Perkantoran")</f>
        <v>Pengelola Administrasi Perkantoran</v>
      </c>
      <c r="C378" s="6" t="str">
        <f>IFERROR(__xludf.DUMMYFUNCTION("""COMPUTED_VALUE"""),"SMK Negeri 1 Kendari")</f>
        <v>SMK Negeri 1 Kendari</v>
      </c>
      <c r="F378" s="6" t="str">
        <f>IFERROR(__xludf.DUMMYFUNCTION("""COMPUTED_VALUE"""),"SAFIRA AISYAH PUTRI ICHSAN")</f>
        <v>SAFIRA AISYAH PUTRI ICHSAN</v>
      </c>
      <c r="G378" s="6" t="str">
        <f>IFERROR(__xludf.DUMMYFUNCTION("""COMPUTED_VALUE"""),"7471094608080003")</f>
        <v>7471094608080003</v>
      </c>
      <c r="J378" s="7" t="str">
        <f>IFERROR(__xludf.DUMMYFUNCTION("""COMPUTED_VALUE"""),"PEREMPUAN")</f>
        <v>PEREMPUAN</v>
      </c>
      <c r="K378" s="6" t="str">
        <f>IFERROR(__xludf.DUMMYFUNCTION("""COMPUTED_VALUE"""),"BTN Bukit Cendana Permai, Lepo-lepo")</f>
        <v>BTN Bukit Cendana Permai, Lepo-lepo</v>
      </c>
      <c r="N378" s="8" t="s">
        <v>19</v>
      </c>
      <c r="R378" s="7" t="str">
        <f>IFERROR(__xludf.DUMMYFUNCTION("""COMPUTED_VALUE"""),"K")</f>
        <v>K</v>
      </c>
    </row>
    <row r="379" ht="22.5" customHeight="1">
      <c r="A379" s="6">
        <v>378.0</v>
      </c>
      <c r="B379" s="6" t="str">
        <f>IFERROR(__xludf.DUMMYFUNCTION("""COMPUTED_VALUE"""),"Pengelola Administrasi Perkantoran")</f>
        <v>Pengelola Administrasi Perkantoran</v>
      </c>
      <c r="C379" s="6" t="str">
        <f>IFERROR(__xludf.DUMMYFUNCTION("""COMPUTED_VALUE"""),"SMK Negeri 1 Kendari")</f>
        <v>SMK Negeri 1 Kendari</v>
      </c>
      <c r="F379" s="6" t="str">
        <f>IFERROR(__xludf.DUMMYFUNCTION("""COMPUTED_VALUE"""),"Sakinah Rahmadani Majid")</f>
        <v>Sakinah Rahmadani Majid</v>
      </c>
      <c r="G379" s="6" t="str">
        <f>IFERROR(__xludf.DUMMYFUNCTION("""COMPUTED_VALUE"""),"7471075909080002")</f>
        <v>7471075909080002</v>
      </c>
      <c r="J379" s="7" t="str">
        <f>IFERROR(__xludf.DUMMYFUNCTION("""COMPUTED_VALUE"""),"PEREMPUAN")</f>
        <v>PEREMPUAN</v>
      </c>
      <c r="K379" s="6"/>
      <c r="N379" s="8" t="s">
        <v>19</v>
      </c>
      <c r="R379" s="7" t="str">
        <f>IFERROR(__xludf.DUMMYFUNCTION("""COMPUTED_VALUE"""),"BK")</f>
        <v>BK</v>
      </c>
    </row>
    <row r="380" ht="22.5" customHeight="1">
      <c r="A380" s="6">
        <v>379.0</v>
      </c>
      <c r="B380" s="6" t="str">
        <f>IFERROR(__xludf.DUMMYFUNCTION("""COMPUTED_VALUE"""),"Pengelola Administrasi Perkantoran")</f>
        <v>Pengelola Administrasi Perkantoran</v>
      </c>
      <c r="C380" s="6" t="str">
        <f>IFERROR(__xludf.DUMMYFUNCTION("""COMPUTED_VALUE"""),"SMK Negeri 1 Kendari")</f>
        <v>SMK Negeri 1 Kendari</v>
      </c>
      <c r="F380" s="6" t="str">
        <f>IFERROR(__xludf.DUMMYFUNCTION("""COMPUTED_VALUE"""),"SALSABILA RAMADANI")</f>
        <v>SALSABILA RAMADANI</v>
      </c>
      <c r="G380" s="6" t="str">
        <f>IFERROR(__xludf.DUMMYFUNCTION("""COMPUTED_VALUE"""),"7371026708080001")</f>
        <v>7371026708080001</v>
      </c>
      <c r="J380" s="7" t="str">
        <f>IFERROR(__xludf.DUMMYFUNCTION("""COMPUTED_VALUE"""),"PEREMPUAN")</f>
        <v>PEREMPUAN</v>
      </c>
      <c r="K380" s="6" t="str">
        <f>IFERROR(__xludf.DUMMYFUNCTION("""COMPUTED_VALUE"""),"Konggoasa Grahanara No. 3")</f>
        <v>Konggoasa Grahanara No. 3</v>
      </c>
      <c r="N380" s="8" t="s">
        <v>19</v>
      </c>
      <c r="R380" s="7" t="str">
        <f>IFERROR(__xludf.DUMMYFUNCTION("""COMPUTED_VALUE"""),"K")</f>
        <v>K</v>
      </c>
    </row>
    <row r="381" ht="22.5" customHeight="1">
      <c r="A381" s="6">
        <v>380.0</v>
      </c>
      <c r="B381" s="6" t="str">
        <f>IFERROR(__xludf.DUMMYFUNCTION("""COMPUTED_VALUE"""),"Pengelola Administrasi Perkantoran")</f>
        <v>Pengelola Administrasi Perkantoran</v>
      </c>
      <c r="C381" s="6" t="str">
        <f>IFERROR(__xludf.DUMMYFUNCTION("""COMPUTED_VALUE"""),"SMK Negeri 1 Kendari")</f>
        <v>SMK Negeri 1 Kendari</v>
      </c>
      <c r="F381" s="6" t="str">
        <f>IFERROR(__xludf.DUMMYFUNCTION("""COMPUTED_VALUE"""),"SHAFIRA NINGRUM KADIROEN")</f>
        <v>SHAFIRA NINGRUM KADIROEN</v>
      </c>
      <c r="G381" s="6" t="str">
        <f>IFERROR(__xludf.DUMMYFUNCTION("""COMPUTED_VALUE"""),"7471015003070004")</f>
        <v>7471015003070004</v>
      </c>
      <c r="J381" s="7" t="str">
        <f>IFERROR(__xludf.DUMMYFUNCTION("""COMPUTED_VALUE"""),"PEREMPUAN")</f>
        <v>PEREMPUAN</v>
      </c>
      <c r="K381" s="6" t="str">
        <f>IFERROR(__xludf.DUMMYFUNCTION("""COMPUTED_VALUE"""),"Jl. Saranani No. 27")</f>
        <v>Jl. Saranani No. 27</v>
      </c>
      <c r="N381" s="8" t="s">
        <v>19</v>
      </c>
      <c r="R381" s="7" t="str">
        <f>IFERROR(__xludf.DUMMYFUNCTION("""COMPUTED_VALUE"""),"K")</f>
        <v>K</v>
      </c>
    </row>
    <row r="382" ht="22.5" customHeight="1">
      <c r="A382" s="6">
        <v>381.0</v>
      </c>
      <c r="B382" s="6" t="str">
        <f>IFERROR(__xludf.DUMMYFUNCTION("""COMPUTED_VALUE"""),"Pengelola Administrasi Perkantoran")</f>
        <v>Pengelola Administrasi Perkantoran</v>
      </c>
      <c r="C382" s="6" t="str">
        <f>IFERROR(__xludf.DUMMYFUNCTION("""COMPUTED_VALUE"""),"SMK Negeri 1 Kendari")</f>
        <v>SMK Negeri 1 Kendari</v>
      </c>
      <c r="F382" s="6" t="str">
        <f>IFERROR(__xludf.DUMMYFUNCTION("""COMPUTED_VALUE"""),"SUCI RAMADANI")</f>
        <v>SUCI RAMADANI</v>
      </c>
      <c r="G382" s="6" t="str">
        <f>IFERROR(__xludf.DUMMYFUNCTION("""COMPUTED_VALUE"""),"7471015109080006")</f>
        <v>7471015109080006</v>
      </c>
      <c r="J382" s="7" t="str">
        <f>IFERROR(__xludf.DUMMYFUNCTION("""COMPUTED_VALUE"""),"PEREMPUAN")</f>
        <v>PEREMPUAN</v>
      </c>
      <c r="K382" s="6" t="str">
        <f>IFERROR(__xludf.DUMMYFUNCTION("""COMPUTED_VALUE"""),"Jl. Subsidi II")</f>
        <v>Jl. Subsidi II</v>
      </c>
      <c r="N382" s="8" t="s">
        <v>19</v>
      </c>
      <c r="R382" s="7" t="str">
        <f>IFERROR(__xludf.DUMMYFUNCTION("""COMPUTED_VALUE"""),"K")</f>
        <v>K</v>
      </c>
    </row>
    <row r="383" ht="22.5" customHeight="1">
      <c r="A383" s="6">
        <v>382.0</v>
      </c>
      <c r="B383" s="6" t="str">
        <f>IFERROR(__xludf.DUMMYFUNCTION("""COMPUTED_VALUE"""),"Pengelola Administrasi Perkantoran")</f>
        <v>Pengelola Administrasi Perkantoran</v>
      </c>
      <c r="C383" s="6" t="str">
        <f>IFERROR(__xludf.DUMMYFUNCTION("""COMPUTED_VALUE"""),"SMK Negeri 1 Kendari")</f>
        <v>SMK Negeri 1 Kendari</v>
      </c>
      <c r="F383" s="6" t="str">
        <f>IFERROR(__xludf.DUMMYFUNCTION("""COMPUTED_VALUE"""),"Syafira Handayani")</f>
        <v>Syafira Handayani</v>
      </c>
      <c r="G383" s="6" t="str">
        <f>IFERROR(__xludf.DUMMYFUNCTION("""COMPUTED_VALUE"""),"7471075002080002")</f>
        <v>7471075002080002</v>
      </c>
      <c r="J383" s="7" t="str">
        <f>IFERROR(__xludf.DUMMYFUNCTION("""COMPUTED_VALUE"""),"PEREMPUAN")</f>
        <v>PEREMPUAN</v>
      </c>
      <c r="K383" s="6" t="str">
        <f>IFERROR(__xludf.DUMMYFUNCTION("""COMPUTED_VALUE"""),"Jl. Prof M Yamin")</f>
        <v>Jl. Prof M Yamin</v>
      </c>
      <c r="N383" s="8" t="s">
        <v>19</v>
      </c>
      <c r="R383" s="7" t="str">
        <f>IFERROR(__xludf.DUMMYFUNCTION("""COMPUTED_VALUE"""),"BK")</f>
        <v>BK</v>
      </c>
    </row>
    <row r="384" ht="22.5" customHeight="1">
      <c r="A384" s="6">
        <v>383.0</v>
      </c>
      <c r="B384" s="6" t="str">
        <f>IFERROR(__xludf.DUMMYFUNCTION("""COMPUTED_VALUE"""),"Pengelola Administrasi Perkantoran")</f>
        <v>Pengelola Administrasi Perkantoran</v>
      </c>
      <c r="C384" s="6" t="str">
        <f>IFERROR(__xludf.DUMMYFUNCTION("""COMPUTED_VALUE"""),"SMK Negeri 1 Kendari")</f>
        <v>SMK Negeri 1 Kendari</v>
      </c>
      <c r="F384" s="6" t="str">
        <f>IFERROR(__xludf.DUMMYFUNCTION("""COMPUTED_VALUE"""),"TASYA DETRIANA RIZKI")</f>
        <v>TASYA DETRIANA RIZKI</v>
      </c>
      <c r="G384" s="6" t="str">
        <f>IFERROR(__xludf.DUMMYFUNCTION("""COMPUTED_VALUE"""),"7471015612070003")</f>
        <v>7471015612070003</v>
      </c>
      <c r="J384" s="7" t="str">
        <f>IFERROR(__xludf.DUMMYFUNCTION("""COMPUTED_VALUE"""),"PEREMPUAN")</f>
        <v>PEREMPUAN</v>
      </c>
      <c r="K384" s="6" t="str">
        <f>IFERROR(__xludf.DUMMYFUNCTION("""COMPUTED_VALUE"""),"Jl. Balai Kota I")</f>
        <v>Jl. Balai Kota I</v>
      </c>
      <c r="N384" s="8" t="s">
        <v>19</v>
      </c>
      <c r="R384" s="7" t="str">
        <f>IFERROR(__xludf.DUMMYFUNCTION("""COMPUTED_VALUE"""),"K")</f>
        <v>K</v>
      </c>
    </row>
    <row r="385" ht="22.5" customHeight="1">
      <c r="A385" s="6">
        <v>384.0</v>
      </c>
      <c r="B385" s="6" t="str">
        <f>IFERROR(__xludf.DUMMYFUNCTION("""COMPUTED_VALUE"""),"Pengelola Administrasi Perkantoran")</f>
        <v>Pengelola Administrasi Perkantoran</v>
      </c>
      <c r="C385" s="6" t="str">
        <f>IFERROR(__xludf.DUMMYFUNCTION("""COMPUTED_VALUE"""),"SMK Negeri 1 Kendari")</f>
        <v>SMK Negeri 1 Kendari</v>
      </c>
      <c r="F385" s="6" t="str">
        <f>IFERROR(__xludf.DUMMYFUNCTION("""COMPUTED_VALUE"""),"WANDA PRATIWI")</f>
        <v>WANDA PRATIWI</v>
      </c>
      <c r="G385" s="6" t="str">
        <f>IFERROR(__xludf.DUMMYFUNCTION("""COMPUTED_VALUE"""),"7471016707080002")</f>
        <v>7471016707080002</v>
      </c>
      <c r="J385" s="7" t="str">
        <f>IFERROR(__xludf.DUMMYFUNCTION("""COMPUTED_VALUE"""),"PEREMPUAN")</f>
        <v>PEREMPUAN</v>
      </c>
      <c r="K385" s="6" t="str">
        <f>IFERROR(__xludf.DUMMYFUNCTION("""COMPUTED_VALUE"""),"Jl. Imam Bonjol")</f>
        <v>Jl. Imam Bonjol</v>
      </c>
      <c r="N385" s="8" t="s">
        <v>19</v>
      </c>
      <c r="R385" s="7" t="str">
        <f>IFERROR(__xludf.DUMMYFUNCTION("""COMPUTED_VALUE"""),"K")</f>
        <v>K</v>
      </c>
    </row>
    <row r="386" ht="22.5" customHeight="1">
      <c r="A386" s="6">
        <v>385.0</v>
      </c>
      <c r="B386" s="6" t="str">
        <f>IFERROR(__xludf.DUMMYFUNCTION("""COMPUTED_VALUE"""),"Pengelola Administrasi Perkantoran")</f>
        <v>Pengelola Administrasi Perkantoran</v>
      </c>
      <c r="C386" s="6" t="str">
        <f>IFERROR(__xludf.DUMMYFUNCTION("""COMPUTED_VALUE"""),"SMK Negeri 1 Kendari")</f>
        <v>SMK Negeri 1 Kendari</v>
      </c>
      <c r="F386" s="6" t="str">
        <f>IFERROR(__xludf.DUMMYFUNCTION("""COMPUTED_VALUE"""),"WIDYA PRATIWI")</f>
        <v>WIDYA PRATIWI</v>
      </c>
      <c r="G386" s="6" t="str">
        <f>IFERROR(__xludf.DUMMYFUNCTION("""COMPUTED_VALUE"""),"7471056702080001")</f>
        <v>7471056702080001</v>
      </c>
      <c r="J386" s="7" t="str">
        <f>IFERROR(__xludf.DUMMYFUNCTION("""COMPUTED_VALUE"""),"PEREMPUAN")</f>
        <v>PEREMPUAN</v>
      </c>
      <c r="K386" s="6" t="str">
        <f>IFERROR(__xludf.DUMMYFUNCTION("""COMPUTED_VALUE"""),"Jl. Mekar Jaya I, Lorong Unggul")</f>
        <v>Jl. Mekar Jaya I, Lorong Unggul</v>
      </c>
      <c r="N386" s="8" t="s">
        <v>19</v>
      </c>
      <c r="R386" s="7" t="str">
        <f>IFERROR(__xludf.DUMMYFUNCTION("""COMPUTED_VALUE"""),"K")</f>
        <v>K</v>
      </c>
    </row>
    <row r="387" ht="22.5" customHeight="1">
      <c r="A387" s="6">
        <v>386.0</v>
      </c>
      <c r="B387" s="6" t="str">
        <f>IFERROR(__xludf.DUMMYFUNCTION("""COMPUTED_VALUE"""),"Pengelola Administrasi Perkantoran")</f>
        <v>Pengelola Administrasi Perkantoran</v>
      </c>
      <c r="C387" s="6" t="str">
        <f>IFERROR(__xludf.DUMMYFUNCTION("""COMPUTED_VALUE"""),"SMK Negeri 1 Kendari")</f>
        <v>SMK Negeri 1 Kendari</v>
      </c>
      <c r="F387" s="6" t="str">
        <f>IFERROR(__xludf.DUMMYFUNCTION("""COMPUTED_VALUE"""),"Zafitri Suci Celia")</f>
        <v>Zafitri Suci Celia</v>
      </c>
      <c r="G387" s="6" t="str">
        <f>IFERROR(__xludf.DUMMYFUNCTION("""COMPUTED_VALUE"""),"7405195410070001")</f>
        <v>7405195410070001</v>
      </c>
      <c r="J387" s="7" t="str">
        <f>IFERROR(__xludf.DUMMYFUNCTION("""COMPUTED_VALUE"""),"PEREMPUAN")</f>
        <v>PEREMPUAN</v>
      </c>
      <c r="K387" s="6" t="str">
        <f>IFERROR(__xludf.DUMMYFUNCTION("""COMPUTED_VALUE"""),"Jl. Ade Irma Nasution, BTN Djavino 7, Blok C 26")</f>
        <v>Jl. Ade Irma Nasution, BTN Djavino 7, Blok C 26</v>
      </c>
      <c r="N387" s="8" t="s">
        <v>19</v>
      </c>
      <c r="R387" s="7" t="str">
        <f>IFERROR(__xludf.DUMMYFUNCTION("""COMPUTED_VALUE"""),"K")</f>
        <v>K</v>
      </c>
    </row>
    <row r="388" ht="22.5" customHeight="1">
      <c r="A388" s="6">
        <v>387.0</v>
      </c>
      <c r="B388" s="6" t="str">
        <f>IFERROR(__xludf.DUMMYFUNCTION("""COMPUTED_VALUE"""),"Pengelola Administrasi Perkantoran")</f>
        <v>Pengelola Administrasi Perkantoran</v>
      </c>
      <c r="C388" s="6" t="str">
        <f>IFERROR(__xludf.DUMMYFUNCTION("""COMPUTED_VALUE"""),"SMK Negeri 1 Kendari")</f>
        <v>SMK Negeri 1 Kendari</v>
      </c>
      <c r="F388" s="6" t="str">
        <f>IFERROR(__xludf.DUMMYFUNCTION("""COMPUTED_VALUE"""),"ZASKIA")</f>
        <v>ZASKIA</v>
      </c>
      <c r="G388" s="6" t="str">
        <f>IFERROR(__xludf.DUMMYFUNCTION("""COMPUTED_VALUE"""),"7471107006070004")</f>
        <v>7471107006070004</v>
      </c>
      <c r="J388" s="7" t="str">
        <f>IFERROR(__xludf.DUMMYFUNCTION("""COMPUTED_VALUE"""),"PEREMPUAN")</f>
        <v>PEREMPUAN</v>
      </c>
      <c r="K388" s="6" t="str">
        <f>IFERROR(__xludf.DUMMYFUNCTION("""COMPUTED_VALUE"""),"Lrg. Praja II")</f>
        <v>Lrg. Praja II</v>
      </c>
      <c r="N388" s="8" t="s">
        <v>19</v>
      </c>
      <c r="R388" s="7" t="str">
        <f>IFERROR(__xludf.DUMMYFUNCTION("""COMPUTED_VALUE"""),"K")</f>
        <v>K</v>
      </c>
    </row>
    <row r="389" ht="22.5" customHeight="1">
      <c r="A389" s="6">
        <v>388.0</v>
      </c>
      <c r="B389" s="6" t="str">
        <f>IFERROR(__xludf.DUMMYFUNCTION("""COMPUTED_VALUE"""),"Pengelola Administrasi Perkantoran")</f>
        <v>Pengelola Administrasi Perkantoran</v>
      </c>
      <c r="C389" s="6" t="str">
        <f>IFERROR(__xludf.DUMMYFUNCTION("""COMPUTED_VALUE"""),"SMK Negeri 1 Kendari")</f>
        <v>SMK Negeri 1 Kendari</v>
      </c>
      <c r="F389" s="6" t="str">
        <f>IFERROR(__xludf.DUMMYFUNCTION("""COMPUTED_VALUE"""),"Aqilah Zhafirah Tongasa")</f>
        <v>Aqilah Zhafirah Tongasa</v>
      </c>
      <c r="G389" s="6" t="str">
        <f>IFERROR(__xludf.DUMMYFUNCTION("""COMPUTED_VALUE"""),"7405194401080003")</f>
        <v>7405194401080003</v>
      </c>
      <c r="J389" s="7" t="str">
        <f>IFERROR(__xludf.DUMMYFUNCTION("""COMPUTED_VALUE"""),"PEREMPUAN")</f>
        <v>PEREMPUAN</v>
      </c>
      <c r="K389" s="6" t="str">
        <f>IFERROR(__xludf.DUMMYFUNCTION("""COMPUTED_VALUE"""),"Jl. Poeoa Kendari- Andoolo")</f>
        <v>Jl. Poeoa Kendari- Andoolo</v>
      </c>
      <c r="N389" s="8" t="s">
        <v>19</v>
      </c>
      <c r="R389" s="7" t="str">
        <f>IFERROR(__xludf.DUMMYFUNCTION("""COMPUTED_VALUE"""),"K")</f>
        <v>K</v>
      </c>
    </row>
    <row r="390" ht="22.5" customHeight="1">
      <c r="A390" s="6">
        <v>389.0</v>
      </c>
      <c r="B390" s="6" t="str">
        <f>IFERROR(__xludf.DUMMYFUNCTION("""COMPUTED_VALUE"""),"Pengelola Administrasi Perkantoran")</f>
        <v>Pengelola Administrasi Perkantoran</v>
      </c>
      <c r="C390" s="6" t="str">
        <f>IFERROR(__xludf.DUMMYFUNCTION("""COMPUTED_VALUE"""),"SMK Negeri 1 Kendari")</f>
        <v>SMK Negeri 1 Kendari</v>
      </c>
      <c r="F390" s="6" t="str">
        <f>IFERROR(__xludf.DUMMYFUNCTION("""COMPUTED_VALUE"""),"INDI JULIANA")</f>
        <v>INDI JULIANA</v>
      </c>
      <c r="G390" s="6" t="str">
        <f>IFERROR(__xludf.DUMMYFUNCTION("""COMPUTED_VALUE"""),"7471095506080002")</f>
        <v>7471095506080002</v>
      </c>
      <c r="J390" s="7" t="str">
        <f>IFERROR(__xludf.DUMMYFUNCTION("""COMPUTED_VALUE"""),"PEREMPUAN")</f>
        <v>PEREMPUAN</v>
      </c>
      <c r="K390" s="6" t="str">
        <f>IFERROR(__xludf.DUMMYFUNCTION("""COMPUTED_VALUE"""),"Jl. Tunggala Dalam Baito")</f>
        <v>Jl. Tunggala Dalam Baito</v>
      </c>
      <c r="N390" s="8" t="s">
        <v>19</v>
      </c>
      <c r="R390" s="7" t="str">
        <f>IFERROR(__xludf.DUMMYFUNCTION("""COMPUTED_VALUE"""),"K")</f>
        <v>K</v>
      </c>
    </row>
    <row r="391" ht="22.5" customHeight="1">
      <c r="A391" s="6">
        <v>390.0</v>
      </c>
      <c r="B391" s="6" t="str">
        <f>IFERROR(__xludf.DUMMYFUNCTION("""COMPUTED_VALUE"""),"Pengelola Administrasi Perkantoran")</f>
        <v>Pengelola Administrasi Perkantoran</v>
      </c>
      <c r="C391" s="6" t="str">
        <f>IFERROR(__xludf.DUMMYFUNCTION("""COMPUTED_VALUE"""),"SMK Negeri 1 Kendari")</f>
        <v>SMK Negeri 1 Kendari</v>
      </c>
      <c r="F391" s="6" t="str">
        <f>IFERROR(__xludf.DUMMYFUNCTION("""COMPUTED_VALUE"""),"Mirnawati")</f>
        <v>Mirnawati</v>
      </c>
      <c r="G391" s="6" t="str">
        <f>IFERROR(__xludf.DUMMYFUNCTION("""COMPUTED_VALUE"""),"7471085511080002")</f>
        <v>7471085511080002</v>
      </c>
      <c r="J391" s="7" t="str">
        <f>IFERROR(__xludf.DUMMYFUNCTION("""COMPUTED_VALUE"""),"PEREMPUAN")</f>
        <v>PEREMPUAN</v>
      </c>
      <c r="K391" s="6" t="str">
        <f>IFERROR(__xludf.DUMMYFUNCTION("""COMPUTED_VALUE"""),"Jalan by pass, Lorong Poau")</f>
        <v>Jalan by pass, Lorong Poau</v>
      </c>
      <c r="N391" s="8" t="s">
        <v>19</v>
      </c>
      <c r="R391" s="7" t="str">
        <f>IFERROR(__xludf.DUMMYFUNCTION("""COMPUTED_VALUE"""),"K")</f>
        <v>K</v>
      </c>
    </row>
    <row r="392" ht="22.5" customHeight="1">
      <c r="A392" s="6">
        <v>391.0</v>
      </c>
      <c r="B392" s="6" t="str">
        <f>IFERROR(__xludf.DUMMYFUNCTION("""COMPUTED_VALUE"""),"Pengelola Administrasi Perkantoran")</f>
        <v>Pengelola Administrasi Perkantoran</v>
      </c>
      <c r="C392" s="6" t="str">
        <f>IFERROR(__xludf.DUMMYFUNCTION("""COMPUTED_VALUE"""),"SMK Negeri 1 Kendari")</f>
        <v>SMK Negeri 1 Kendari</v>
      </c>
      <c r="F392" s="6" t="str">
        <f>IFERROR(__xludf.DUMMYFUNCTION("""COMPUTED_VALUE"""),"Muh Rezky")</f>
        <v>Muh Rezky</v>
      </c>
      <c r="G392" s="6" t="str">
        <f>IFERROR(__xludf.DUMMYFUNCTION("""COMPUTED_VALUE"""),"7471090505080003")</f>
        <v>7471090505080003</v>
      </c>
      <c r="J392" s="7" t="str">
        <f>IFERROR(__xludf.DUMMYFUNCTION("""COMPUTED_VALUE"""),"LAKI-LAKI")</f>
        <v>LAKI-LAKI</v>
      </c>
      <c r="K392" s="6" t="str">
        <f>IFERROR(__xludf.DUMMYFUNCTION("""COMPUTED_VALUE"""),"Jl. Ahmad Yani Lorong Ilmiah Gang VI")</f>
        <v>Jl. Ahmad Yani Lorong Ilmiah Gang VI</v>
      </c>
      <c r="N392" s="8" t="s">
        <v>19</v>
      </c>
      <c r="R392" s="7" t="str">
        <f>IFERROR(__xludf.DUMMYFUNCTION("""COMPUTED_VALUE"""),"K")</f>
        <v>K</v>
      </c>
    </row>
    <row r="393" ht="22.5" customHeight="1">
      <c r="A393" s="6">
        <v>392.0</v>
      </c>
      <c r="B393" s="6" t="str">
        <f>IFERROR(__xludf.DUMMYFUNCTION("""COMPUTED_VALUE"""),"Pengelola Administrasi Perkantoran")</f>
        <v>Pengelola Administrasi Perkantoran</v>
      </c>
      <c r="C393" s="6" t="str">
        <f>IFERROR(__xludf.DUMMYFUNCTION("""COMPUTED_VALUE"""),"SMK Negeri 1 Kendari")</f>
        <v>SMK Negeri 1 Kendari</v>
      </c>
      <c r="F393" s="6" t="str">
        <f>IFERROR(__xludf.DUMMYFUNCTION("""COMPUTED_VALUE"""),"SHANDI GALIH RAMADHAN")</f>
        <v>SHANDI GALIH RAMADHAN</v>
      </c>
      <c r="G393" s="6" t="str">
        <f>IFERROR(__xludf.DUMMYFUNCTION("""COMPUTED_VALUE"""),"7471070310070002")</f>
        <v>7471070310070002</v>
      </c>
      <c r="J393" s="7" t="str">
        <f>IFERROR(__xludf.DUMMYFUNCTION("""COMPUTED_VALUE"""),"LAKI-LAKI")</f>
        <v>LAKI-LAKI</v>
      </c>
      <c r="K393" s="6" t="str">
        <f>IFERROR(__xludf.DUMMYFUNCTION("""COMPUTED_VALUE"""),"Jl. Lalonggida, RT/RT 016/005, Kel. Watulondo")</f>
        <v>Jl. Lalonggida, RT/RT 016/005, Kel. Watulondo</v>
      </c>
      <c r="N393" s="8" t="s">
        <v>19</v>
      </c>
      <c r="R393" s="7" t="str">
        <f>IFERROR(__xludf.DUMMYFUNCTION("""COMPUTED_VALUE"""),"K")</f>
        <v>K</v>
      </c>
    </row>
    <row r="394" ht="22.5" customHeight="1">
      <c r="A394" s="6">
        <v>393.0</v>
      </c>
      <c r="B394" s="6" t="str">
        <f>IFERROR(__xludf.DUMMYFUNCTION("""COMPUTED_VALUE"""),"Pengelola Administrasi Perkantoran")</f>
        <v>Pengelola Administrasi Perkantoran</v>
      </c>
      <c r="C394" s="6" t="str">
        <f>IFERROR(__xludf.DUMMYFUNCTION("""COMPUTED_VALUE"""),"SMK Negeri 1 Kendari")</f>
        <v>SMK Negeri 1 Kendari</v>
      </c>
      <c r="F394" s="6" t="str">
        <f>IFERROR(__xludf.DUMMYFUNCTION("""COMPUTED_VALUE"""),"SUCI WIDYA PRATIWI")</f>
        <v>SUCI WIDYA PRATIWI</v>
      </c>
      <c r="G394" s="6" t="str">
        <f>IFERROR(__xludf.DUMMYFUNCTION("""COMPUTED_VALUE"""),"7471084301080003")</f>
        <v>7471084301080003</v>
      </c>
      <c r="J394" s="7" t="str">
        <f>IFERROR(__xludf.DUMMYFUNCTION("""COMPUTED_VALUE"""),"PEREMPUAN")</f>
        <v>PEREMPUAN</v>
      </c>
      <c r="K394" s="6" t="str">
        <f>IFERROR(__xludf.DUMMYFUNCTION("""COMPUTED_VALUE"""),"Jl. Mekar Damai Pemancar")</f>
        <v>Jl. Mekar Damai Pemancar</v>
      </c>
      <c r="N394" s="8" t="s">
        <v>19</v>
      </c>
      <c r="R394" s="7" t="str">
        <f>IFERROR(__xludf.DUMMYFUNCTION("""COMPUTED_VALUE"""),"K")</f>
        <v>K</v>
      </c>
    </row>
    <row r="395" ht="22.5" customHeight="1">
      <c r="A395" s="6">
        <v>394.0</v>
      </c>
      <c r="B395" s="6" t="str">
        <f>IFERROR(__xludf.DUMMYFUNCTION("""COMPUTED_VALUE"""),"Pengelola Administrasi Perkantoran")</f>
        <v>Pengelola Administrasi Perkantoran</v>
      </c>
      <c r="C395" s="6" t="str">
        <f>IFERROR(__xludf.DUMMYFUNCTION("""COMPUTED_VALUE"""),"SMK Negeri 1 Kendari")</f>
        <v>SMK Negeri 1 Kendari</v>
      </c>
      <c r="F395" s="6" t="str">
        <f>IFERROR(__xludf.DUMMYFUNCTION("""COMPUTED_VALUE"""),"SULTAN MOHAMMAD IRKHAM")</f>
        <v>SULTAN MOHAMMAD IRKHAM</v>
      </c>
      <c r="G395" s="6" t="str">
        <f>IFERROR(__xludf.DUMMYFUNCTION("""COMPUTED_VALUE"""),"3302102805070001")</f>
        <v>3302102805070001</v>
      </c>
      <c r="J395" s="7" t="str">
        <f>IFERROR(__xludf.DUMMYFUNCTION("""COMPUTED_VALUE"""),"LAKI-LAKI")</f>
        <v>LAKI-LAKI</v>
      </c>
      <c r="K395" s="6" t="str">
        <f>IFERROR(__xludf.DUMMYFUNCTION("""COMPUTED_VALUE"""),"Jl. Anawai, Kel. Anawai, Kec. Wua-wua, Kota Kendari")</f>
        <v>Jl. Anawai, Kel. Anawai, Kec. Wua-wua, Kota Kendari</v>
      </c>
      <c r="N395" s="8" t="s">
        <v>19</v>
      </c>
      <c r="R395" s="7" t="str">
        <f>IFERROR(__xludf.DUMMYFUNCTION("""COMPUTED_VALUE"""),"K")</f>
        <v>K</v>
      </c>
    </row>
    <row r="396" ht="22.5" customHeight="1">
      <c r="A396" s="6">
        <v>395.0</v>
      </c>
      <c r="B396" s="6" t="str">
        <f>IFERROR(__xludf.DUMMYFUNCTION("""COMPUTED_VALUE"""),"Pengelola Administrasi Perkantoran")</f>
        <v>Pengelola Administrasi Perkantoran</v>
      </c>
      <c r="C396" s="6" t="str">
        <f>IFERROR(__xludf.DUMMYFUNCTION("""COMPUTED_VALUE"""),"SMK Negeri 1 Kendari")</f>
        <v>SMK Negeri 1 Kendari</v>
      </c>
      <c r="F396" s="6" t="str">
        <f>IFERROR(__xludf.DUMMYFUNCTION("""COMPUTED_VALUE"""),"ALENA TRIA NINGSI")</f>
        <v>ALENA TRIA NINGSI</v>
      </c>
      <c r="G396" s="6" t="str">
        <f>IFERROR(__xludf.DUMMYFUNCTION("""COMPUTED_VALUE"""),"7471010606140003")</f>
        <v>7471010606140003</v>
      </c>
      <c r="J396" s="7" t="str">
        <f>IFERROR(__xludf.DUMMYFUNCTION("""COMPUTED_VALUE"""),"LAKI-LAKI")</f>
        <v>LAKI-LAKI</v>
      </c>
      <c r="K396" s="6" t="str">
        <f>IFERROR(__xludf.DUMMYFUNCTION("""COMPUTED_VALUE"""),"Jl. Sam Ratulangi Mandonga")</f>
        <v>Jl. Sam Ratulangi Mandonga</v>
      </c>
      <c r="N396" s="8" t="s">
        <v>19</v>
      </c>
      <c r="R396" s="7" t="str">
        <f>IFERROR(__xludf.DUMMYFUNCTION("""COMPUTED_VALUE"""),"K")</f>
        <v>K</v>
      </c>
    </row>
    <row r="397" ht="22.5" customHeight="1">
      <c r="A397" s="6">
        <v>396.0</v>
      </c>
      <c r="B397" s="6" t="str">
        <f>IFERROR(__xludf.DUMMYFUNCTION("""COMPUTED_VALUE"""),"Pengelola Administrasi Perkantoran")</f>
        <v>Pengelola Administrasi Perkantoran</v>
      </c>
      <c r="C397" s="6" t="str">
        <f>IFERROR(__xludf.DUMMYFUNCTION("""COMPUTED_VALUE"""),"SMK Negeri 1 Kendari")</f>
        <v>SMK Negeri 1 Kendari</v>
      </c>
      <c r="F397" s="6" t="str">
        <f>IFERROR(__xludf.DUMMYFUNCTION("""COMPUTED_VALUE"""),"AMELIA")</f>
        <v>AMELIA</v>
      </c>
      <c r="G397" s="6" t="str">
        <f>IFERROR(__xludf.DUMMYFUNCTION("""COMPUTED_VALUE"""),"7471056206080002")</f>
        <v>7471056206080002</v>
      </c>
      <c r="J397" s="7" t="str">
        <f>IFERROR(__xludf.DUMMYFUNCTION("""COMPUTED_VALUE"""),"PEREMPUAN")</f>
        <v>PEREMPUAN</v>
      </c>
      <c r="K397" s="6" t="str">
        <f>IFERROR(__xludf.DUMMYFUNCTION("""COMPUTED_VALUE"""),"Jl. S. Konaweha")</f>
        <v>Jl. S. Konaweha</v>
      </c>
      <c r="N397" s="8" t="s">
        <v>19</v>
      </c>
      <c r="R397" s="7" t="str">
        <f>IFERROR(__xludf.DUMMYFUNCTION("""COMPUTED_VALUE"""),"K")</f>
        <v>K</v>
      </c>
    </row>
    <row r="398" ht="22.5" customHeight="1">
      <c r="A398" s="6">
        <v>397.0</v>
      </c>
      <c r="B398" s="6" t="str">
        <f>IFERROR(__xludf.DUMMYFUNCTION("""COMPUTED_VALUE"""),"Pengelola Administrasi Perkantoran")</f>
        <v>Pengelola Administrasi Perkantoran</v>
      </c>
      <c r="C398" s="6" t="str">
        <f>IFERROR(__xludf.DUMMYFUNCTION("""COMPUTED_VALUE"""),"SMK Negeri 1 Kendari")</f>
        <v>SMK Negeri 1 Kendari</v>
      </c>
      <c r="F398" s="6" t="str">
        <f>IFERROR(__xludf.DUMMYFUNCTION("""COMPUTED_VALUE"""),"ANHA RESKI ZANZABILA SAIN")</f>
        <v>ANHA RESKI ZANZABILA SAIN</v>
      </c>
      <c r="G398" s="6" t="str">
        <f>IFERROR(__xludf.DUMMYFUNCTION("""COMPUTED_VALUE"""),"7402025305080001")</f>
        <v>7402025305080001</v>
      </c>
      <c r="J398" s="7" t="str">
        <f>IFERROR(__xludf.DUMMYFUNCTION("""COMPUTED_VALUE"""),"PEREMPUAN")</f>
        <v>PEREMPUAN</v>
      </c>
      <c r="K398" s="6" t="str">
        <f>IFERROR(__xludf.DUMMYFUNCTION("""COMPUTED_VALUE"""),"BTN Satria Nusantara Blok B.12")</f>
        <v>BTN Satria Nusantara Blok B.12</v>
      </c>
      <c r="N398" s="8" t="s">
        <v>19</v>
      </c>
      <c r="R398" s="7" t="str">
        <f>IFERROR(__xludf.DUMMYFUNCTION("""COMPUTED_VALUE"""),"K")</f>
        <v>K</v>
      </c>
    </row>
    <row r="399" ht="22.5" customHeight="1">
      <c r="A399" s="6">
        <v>398.0</v>
      </c>
      <c r="B399" s="6" t="str">
        <f>IFERROR(__xludf.DUMMYFUNCTION("""COMPUTED_VALUE"""),"Pengelola Administrasi Perkantoran")</f>
        <v>Pengelola Administrasi Perkantoran</v>
      </c>
      <c r="C399" s="6" t="str">
        <f>IFERROR(__xludf.DUMMYFUNCTION("""COMPUTED_VALUE"""),"SMK Negeri 1 Kendari")</f>
        <v>SMK Negeri 1 Kendari</v>
      </c>
      <c r="F399" s="6" t="str">
        <f>IFERROR(__xludf.DUMMYFUNCTION("""COMPUTED_VALUE"""),"ANISA SUSIYANTI. Y.K")</f>
        <v>ANISA SUSIYANTI. Y.K</v>
      </c>
      <c r="G399" s="6" t="str">
        <f>IFERROR(__xludf.DUMMYFUNCTION("""COMPUTED_VALUE"""),"7471025111080001")</f>
        <v>7471025111080001</v>
      </c>
      <c r="J399" s="7" t="str">
        <f>IFERROR(__xludf.DUMMYFUNCTION("""COMPUTED_VALUE"""),"PEREMPUAN")</f>
        <v>PEREMPUAN</v>
      </c>
      <c r="K399" s="6" t="str">
        <f>IFERROR(__xludf.DUMMYFUNCTION("""COMPUTED_VALUE"""),"Kel. Gunung Jati, RT/RW 003/003, Kel. Gunung Jati")</f>
        <v>Kel. Gunung Jati, RT/RW 003/003, Kel. Gunung Jati</v>
      </c>
      <c r="N399" s="8" t="s">
        <v>19</v>
      </c>
      <c r="R399" s="7" t="str">
        <f>IFERROR(__xludf.DUMMYFUNCTION("""COMPUTED_VALUE"""),"K")</f>
        <v>K</v>
      </c>
    </row>
    <row r="400" ht="22.5" customHeight="1">
      <c r="A400" s="6">
        <v>399.0</v>
      </c>
      <c r="B400" s="6" t="str">
        <f>IFERROR(__xludf.DUMMYFUNCTION("""COMPUTED_VALUE"""),"Pengelola Administrasi Perkantoran")</f>
        <v>Pengelola Administrasi Perkantoran</v>
      </c>
      <c r="C400" s="6" t="str">
        <f>IFERROR(__xludf.DUMMYFUNCTION("""COMPUTED_VALUE"""),"SMK Negeri 1 Kendari")</f>
        <v>SMK Negeri 1 Kendari</v>
      </c>
      <c r="F400" s="6" t="str">
        <f>IFERROR(__xludf.DUMMYFUNCTION("""COMPUTED_VALUE"""),"Aswina Reskina Ramadani")</f>
        <v>Aswina Reskina Ramadani</v>
      </c>
      <c r="G400" s="6" t="str">
        <f>IFERROR(__xludf.DUMMYFUNCTION("""COMPUTED_VALUE"""),"7471094610070001")</f>
        <v>7471094610070001</v>
      </c>
      <c r="J400" s="7" t="str">
        <f>IFERROR(__xludf.DUMMYFUNCTION("""COMPUTED_VALUE"""),"PEREMPUAN")</f>
        <v>PEREMPUAN</v>
      </c>
      <c r="K400" s="6" t="str">
        <f>IFERROR(__xludf.DUMMYFUNCTION("""COMPUTED_VALUE"""),"Jl. Chairil Anwar, Lr. Hj. Lamarundu, Kel. Mataiwoi RT 15/ RW 05")</f>
        <v>Jl. Chairil Anwar, Lr. Hj. Lamarundu, Kel. Mataiwoi RT 15/ RW 05</v>
      </c>
      <c r="N400" s="8" t="s">
        <v>19</v>
      </c>
      <c r="R400" s="7" t="str">
        <f>IFERROR(__xludf.DUMMYFUNCTION("""COMPUTED_VALUE"""),"K")</f>
        <v>K</v>
      </c>
    </row>
    <row r="401" ht="22.5" customHeight="1">
      <c r="A401" s="6">
        <v>400.0</v>
      </c>
      <c r="B401" s="6" t="str">
        <f>IFERROR(__xludf.DUMMYFUNCTION("""COMPUTED_VALUE"""),"Pengelola Administrasi Perkantoran")</f>
        <v>Pengelola Administrasi Perkantoran</v>
      </c>
      <c r="C401" s="6" t="str">
        <f>IFERROR(__xludf.DUMMYFUNCTION("""COMPUTED_VALUE"""),"SMK Negeri 1 Kendari")</f>
        <v>SMK Negeri 1 Kendari</v>
      </c>
      <c r="F401" s="6" t="str">
        <f>IFERROR(__xludf.DUMMYFUNCTION("""COMPUTED_VALUE"""),"Aurelia Julinda")</f>
        <v>Aurelia Julinda</v>
      </c>
      <c r="G401" s="6" t="str">
        <f>IFERROR(__xludf.DUMMYFUNCTION("""COMPUTED_VALUE"""),"7371096707080008")</f>
        <v>7371096707080008</v>
      </c>
      <c r="J401" s="7" t="str">
        <f>IFERROR(__xludf.DUMMYFUNCTION("""COMPUTED_VALUE"""),"PEREMPUAN")</f>
        <v>PEREMPUAN</v>
      </c>
      <c r="K401" s="6" t="str">
        <f>IFERROR(__xludf.DUMMYFUNCTION("""COMPUTED_VALUE"""),"Jl. Mekar Damai Wayong, RT.001/RW. 004")</f>
        <v>Jl. Mekar Damai Wayong, RT.001/RW. 004</v>
      </c>
      <c r="N401" s="8" t="s">
        <v>19</v>
      </c>
      <c r="R401" s="7" t="str">
        <f>IFERROR(__xludf.DUMMYFUNCTION("""COMPUTED_VALUE"""),"K")</f>
        <v>K</v>
      </c>
    </row>
    <row r="402" ht="22.5" customHeight="1">
      <c r="A402" s="6">
        <v>401.0</v>
      </c>
      <c r="B402" s="6" t="str">
        <f>IFERROR(__xludf.DUMMYFUNCTION("""COMPUTED_VALUE"""),"Pengelola Administrasi Perkantoran")</f>
        <v>Pengelola Administrasi Perkantoran</v>
      </c>
      <c r="C402" s="6" t="str">
        <f>IFERROR(__xludf.DUMMYFUNCTION("""COMPUTED_VALUE"""),"SMK Negeri 1 Kendari")</f>
        <v>SMK Negeri 1 Kendari</v>
      </c>
      <c r="F402" s="6" t="str">
        <f>IFERROR(__xludf.DUMMYFUNCTION("""COMPUTED_VALUE"""),"DEVI AYU LESTARI")</f>
        <v>DEVI AYU LESTARI</v>
      </c>
      <c r="G402" s="6" t="str">
        <f>IFERROR(__xludf.DUMMYFUNCTION("""COMPUTED_VALUE"""),"7402184512080001")</f>
        <v>7402184512080001</v>
      </c>
      <c r="J402" s="7" t="str">
        <f>IFERROR(__xludf.DUMMYFUNCTION("""COMPUTED_VALUE"""),"PEREMPUAN")</f>
        <v>PEREMPUAN</v>
      </c>
      <c r="K402" s="6" t="str">
        <f>IFERROR(__xludf.DUMMYFUNCTION("""COMPUTED_VALUE"""),"Desa Tawamelewe")</f>
        <v>Desa Tawamelewe</v>
      </c>
      <c r="N402" s="8" t="s">
        <v>19</v>
      </c>
      <c r="R402" s="7" t="str">
        <f>IFERROR(__xludf.DUMMYFUNCTION("""COMPUTED_VALUE"""),"K")</f>
        <v>K</v>
      </c>
    </row>
    <row r="403" ht="22.5" customHeight="1">
      <c r="A403" s="6">
        <v>402.0</v>
      </c>
      <c r="B403" s="6" t="str">
        <f>IFERROR(__xludf.DUMMYFUNCTION("""COMPUTED_VALUE"""),"Pengelola Administrasi Perkantoran")</f>
        <v>Pengelola Administrasi Perkantoran</v>
      </c>
      <c r="C403" s="6" t="str">
        <f>IFERROR(__xludf.DUMMYFUNCTION("""COMPUTED_VALUE"""),"SMK Negeri 1 Kendari")</f>
        <v>SMK Negeri 1 Kendari</v>
      </c>
      <c r="F403" s="6" t="str">
        <f>IFERROR(__xludf.DUMMYFUNCTION("""COMPUTED_VALUE"""),"DINARTO TANGGO")</f>
        <v>DINARTO TANGGO</v>
      </c>
      <c r="G403" s="6" t="str">
        <f>IFERROR(__xludf.DUMMYFUNCTION("""COMPUTED_VALUE"""),"7471080506080001")</f>
        <v>7471080506080001</v>
      </c>
      <c r="J403" s="7" t="str">
        <f>IFERROR(__xludf.DUMMYFUNCTION("""COMPUTED_VALUE"""),"LAKI-LAKI")</f>
        <v>LAKI-LAKI</v>
      </c>
      <c r="K403" s="6" t="str">
        <f>IFERROR(__xludf.DUMMYFUNCTION("""COMPUTED_VALUE"""),"BTN Griya Baruga Asri Blok F/17")</f>
        <v>BTN Griya Baruga Asri Blok F/17</v>
      </c>
      <c r="N403" s="8" t="s">
        <v>19</v>
      </c>
      <c r="R403" s="7" t="str">
        <f>IFERROR(__xludf.DUMMYFUNCTION("""COMPUTED_VALUE"""),"K")</f>
        <v>K</v>
      </c>
    </row>
    <row r="404" ht="22.5" customHeight="1">
      <c r="A404" s="6">
        <v>403.0</v>
      </c>
      <c r="B404" s="6" t="str">
        <f>IFERROR(__xludf.DUMMYFUNCTION("""COMPUTED_VALUE"""),"Pengelola Administrasi Perkantoran")</f>
        <v>Pengelola Administrasi Perkantoran</v>
      </c>
      <c r="C404" s="6" t="str">
        <f>IFERROR(__xludf.DUMMYFUNCTION("""COMPUTED_VALUE"""),"SMK Negeri 1 Kendari")</f>
        <v>SMK Negeri 1 Kendari</v>
      </c>
      <c r="F404" s="6" t="str">
        <f>IFERROR(__xludf.DUMMYFUNCTION("""COMPUTED_VALUE"""),"DIRGA PRATA ABBSAR")</f>
        <v>DIRGA PRATA ABBSAR</v>
      </c>
      <c r="G404" s="6" t="str">
        <f>IFERROR(__xludf.DUMMYFUNCTION("""COMPUTED_VALUE"""),"7472020802080005")</f>
        <v>7472020802080005</v>
      </c>
      <c r="J404" s="7" t="str">
        <f>IFERROR(__xludf.DUMMYFUNCTION("""COMPUTED_VALUE"""),"LAKI-LAKI")</f>
        <v>LAKI-LAKI</v>
      </c>
      <c r="K404" s="6"/>
      <c r="N404" s="8" t="s">
        <v>19</v>
      </c>
      <c r="R404" s="7" t="str">
        <f>IFERROR(__xludf.DUMMYFUNCTION("""COMPUTED_VALUE"""),"K")</f>
        <v>K</v>
      </c>
    </row>
    <row r="405" ht="22.5" customHeight="1">
      <c r="A405" s="6">
        <v>404.0</v>
      </c>
      <c r="B405" s="6" t="str">
        <f>IFERROR(__xludf.DUMMYFUNCTION("""COMPUTED_VALUE"""),"Pengelola Administrasi Perkantoran")</f>
        <v>Pengelola Administrasi Perkantoran</v>
      </c>
      <c r="C405" s="6" t="str">
        <f>IFERROR(__xludf.DUMMYFUNCTION("""COMPUTED_VALUE"""),"SMK Negeri 1 Kendari")</f>
        <v>SMK Negeri 1 Kendari</v>
      </c>
      <c r="F405" s="6" t="str">
        <f>IFERROR(__xludf.DUMMYFUNCTION("""COMPUTED_VALUE"""),"Fathin Anggraeni Amelia")</f>
        <v>Fathin Anggraeni Amelia</v>
      </c>
      <c r="G405" s="6" t="str">
        <f>IFERROR(__xludf.DUMMYFUNCTION("""COMPUTED_VALUE"""),"7604044305080005")</f>
        <v>7604044305080005</v>
      </c>
      <c r="J405" s="7" t="str">
        <f>IFERROR(__xludf.DUMMYFUNCTION("""COMPUTED_VALUE"""),"PEREMPUAN")</f>
        <v>PEREMPUAN</v>
      </c>
      <c r="K405" s="6" t="str">
        <f>IFERROR(__xludf.DUMMYFUNCTION("""COMPUTED_VALUE"""),"Jl. Sawerigading No. 20A")</f>
        <v>Jl. Sawerigading No. 20A</v>
      </c>
      <c r="N405" s="8" t="s">
        <v>19</v>
      </c>
      <c r="R405" s="7" t="str">
        <f>IFERROR(__xludf.DUMMYFUNCTION("""COMPUTED_VALUE"""),"K")</f>
        <v>K</v>
      </c>
    </row>
    <row r="406" ht="22.5" customHeight="1">
      <c r="A406" s="6">
        <v>405.0</v>
      </c>
      <c r="B406" s="6" t="str">
        <f>IFERROR(__xludf.DUMMYFUNCTION("""COMPUTED_VALUE"""),"Pengelola Administrasi Perkantoran")</f>
        <v>Pengelola Administrasi Perkantoran</v>
      </c>
      <c r="C406" s="6" t="str">
        <f>IFERROR(__xludf.DUMMYFUNCTION("""COMPUTED_VALUE"""),"SMK Negeri 1 Kendari")</f>
        <v>SMK Negeri 1 Kendari</v>
      </c>
      <c r="F406" s="6" t="str">
        <f>IFERROR(__xludf.DUMMYFUNCTION("""COMPUTED_VALUE"""),"FEBRIANI NUR AZIZAH")</f>
        <v>FEBRIANI NUR AZIZAH</v>
      </c>
      <c r="G406" s="6" t="str">
        <f>IFERROR(__xludf.DUMMYFUNCTION("""COMPUTED_VALUE"""),"7471035102080001")</f>
        <v>7471035102080001</v>
      </c>
      <c r="J406" s="7" t="str">
        <f>IFERROR(__xludf.DUMMYFUNCTION("""COMPUTED_VALUE"""),"PEREMPUAN")</f>
        <v>PEREMPUAN</v>
      </c>
      <c r="K406" s="6" t="str">
        <f>IFERROR(__xludf.DUMMYFUNCTION("""COMPUTED_VALUE"""),"BTN Raksa Asri Blok C3/12")</f>
        <v>BTN Raksa Asri Blok C3/12</v>
      </c>
      <c r="N406" s="8" t="s">
        <v>19</v>
      </c>
      <c r="R406" s="7" t="str">
        <f>IFERROR(__xludf.DUMMYFUNCTION("""COMPUTED_VALUE"""),"K")</f>
        <v>K</v>
      </c>
    </row>
    <row r="407" ht="22.5" customHeight="1">
      <c r="A407" s="6">
        <v>406.0</v>
      </c>
      <c r="B407" s="6" t="str">
        <f>IFERROR(__xludf.DUMMYFUNCTION("""COMPUTED_VALUE"""),"Pengelola Administrasi Perkantoran")</f>
        <v>Pengelola Administrasi Perkantoran</v>
      </c>
      <c r="C407" s="6" t="str">
        <f>IFERROR(__xludf.DUMMYFUNCTION("""COMPUTED_VALUE"""),"SMK Negeri 1 Kendari")</f>
        <v>SMK Negeri 1 Kendari</v>
      </c>
      <c r="F407" s="6" t="str">
        <f>IFERROR(__xludf.DUMMYFUNCTION("""COMPUTED_VALUE"""),"M. IMRAN MUARIF")</f>
        <v>M. IMRAN MUARIF</v>
      </c>
      <c r="G407" s="6" t="str">
        <f>IFERROR(__xludf.DUMMYFUNCTION("""COMPUTED_VALUE"""),"7471010305080003")</f>
        <v>7471010305080003</v>
      </c>
      <c r="J407" s="7" t="str">
        <f>IFERROR(__xludf.DUMMYFUNCTION("""COMPUTED_VALUE"""),"LAKI-LAKI")</f>
        <v>LAKI-LAKI</v>
      </c>
      <c r="K407" s="6" t="str">
        <f>IFERROR(__xludf.DUMMYFUNCTION("""COMPUTED_VALUE"""),"Jalan Ronga 1")</f>
        <v>Jalan Ronga 1</v>
      </c>
      <c r="N407" s="8" t="s">
        <v>19</v>
      </c>
      <c r="R407" s="7" t="str">
        <f>IFERROR(__xludf.DUMMYFUNCTION("""COMPUTED_VALUE"""),"K")</f>
        <v>K</v>
      </c>
    </row>
    <row r="408" ht="22.5" customHeight="1">
      <c r="A408" s="6">
        <v>407.0</v>
      </c>
      <c r="B408" s="6" t="str">
        <f>IFERROR(__xludf.DUMMYFUNCTION("""COMPUTED_VALUE"""),"Pengelola Administrasi Perkantoran")</f>
        <v>Pengelola Administrasi Perkantoran</v>
      </c>
      <c r="C408" s="6" t="str">
        <f>IFERROR(__xludf.DUMMYFUNCTION("""COMPUTED_VALUE"""),"SMK Negeri 1 Kendari")</f>
        <v>SMK Negeri 1 Kendari</v>
      </c>
      <c r="F408" s="6" t="str">
        <f>IFERROR(__xludf.DUMMYFUNCTION("""COMPUTED_VALUE"""),"M. Syahrul")</f>
        <v>M. Syahrul</v>
      </c>
      <c r="G408" s="6" t="str">
        <f>IFERROR(__xludf.DUMMYFUNCTION("""COMPUTED_VALUE"""),"7471010410080001")</f>
        <v>7471010410080001</v>
      </c>
      <c r="J408" s="7" t="str">
        <f>IFERROR(__xludf.DUMMYFUNCTION("""COMPUTED_VALUE"""),"LAKI-LAKI")</f>
        <v>LAKI-LAKI</v>
      </c>
      <c r="K408" s="6" t="str">
        <f>IFERROR(__xludf.DUMMYFUNCTION("""COMPUTED_VALUE"""),"Jl. Lasandara")</f>
        <v>Jl. Lasandara</v>
      </c>
      <c r="N408" s="8" t="s">
        <v>19</v>
      </c>
      <c r="R408" s="7" t="str">
        <f>IFERROR(__xludf.DUMMYFUNCTION("""COMPUTED_VALUE"""),"K")</f>
        <v>K</v>
      </c>
    </row>
    <row r="409" ht="22.5" customHeight="1">
      <c r="A409" s="6">
        <v>408.0</v>
      </c>
      <c r="B409" s="6" t="str">
        <f>IFERROR(__xludf.DUMMYFUNCTION("""COMPUTED_VALUE"""),"Pengelola Administrasi Perkantoran")</f>
        <v>Pengelola Administrasi Perkantoran</v>
      </c>
      <c r="C409" s="6" t="str">
        <f>IFERROR(__xludf.DUMMYFUNCTION("""COMPUTED_VALUE"""),"SMK Negeri 1 Kendari")</f>
        <v>SMK Negeri 1 Kendari</v>
      </c>
      <c r="F409" s="6" t="str">
        <f>IFERROR(__xludf.DUMMYFUNCTION("""COMPUTED_VALUE"""),"Moh. Alif")</f>
        <v>Moh. Alif</v>
      </c>
      <c r="G409" s="6" t="str">
        <f>IFERROR(__xludf.DUMMYFUNCTION("""COMPUTED_VALUE"""),"7206071307080001")</f>
        <v>7206071307080001</v>
      </c>
      <c r="J409" s="7" t="str">
        <f>IFERROR(__xludf.DUMMYFUNCTION("""COMPUTED_VALUE"""),"LAKI-LAKI")</f>
        <v>LAKI-LAKI</v>
      </c>
      <c r="K409" s="6" t="str">
        <f>IFERROR(__xludf.DUMMYFUNCTION("""COMPUTED_VALUE"""),"BTN Cikra Harmuni Jalan Prona Punggolaka")</f>
        <v>BTN Cikra Harmuni Jalan Prona Punggolaka</v>
      </c>
      <c r="N409" s="8" t="s">
        <v>19</v>
      </c>
      <c r="R409" s="7" t="str">
        <f>IFERROR(__xludf.DUMMYFUNCTION("""COMPUTED_VALUE"""),"K")</f>
        <v>K</v>
      </c>
    </row>
    <row r="410" ht="22.5" customHeight="1">
      <c r="A410" s="6">
        <v>409.0</v>
      </c>
      <c r="B410" s="6" t="str">
        <f>IFERROR(__xludf.DUMMYFUNCTION("""COMPUTED_VALUE"""),"Pengelola Administrasi Perkantoran")</f>
        <v>Pengelola Administrasi Perkantoran</v>
      </c>
      <c r="C410" s="6" t="str">
        <f>IFERROR(__xludf.DUMMYFUNCTION("""COMPUTED_VALUE"""),"SMK Negeri 1 Kendari")</f>
        <v>SMK Negeri 1 Kendari</v>
      </c>
      <c r="F410" s="6" t="str">
        <f>IFERROR(__xludf.DUMMYFUNCTION("""COMPUTED_VALUE"""),"MUH. AFDALIL")</f>
        <v>MUH. AFDALIL</v>
      </c>
      <c r="G410" s="6" t="str">
        <f>IFERROR(__xludf.DUMMYFUNCTION("""COMPUTED_VALUE"""),"7471051208080004")</f>
        <v>7471051208080004</v>
      </c>
      <c r="J410" s="7" t="str">
        <f>IFERROR(__xludf.DUMMYFUNCTION("""COMPUTED_VALUE"""),"LAKI-LAKI")</f>
        <v>LAKI-LAKI</v>
      </c>
      <c r="K410" s="6" t="str">
        <f>IFERROR(__xludf.DUMMYFUNCTION("""COMPUTED_VALUE"""),"Jl. Ir. Soekarno, Kota Lama")</f>
        <v>Jl. Ir. Soekarno, Kota Lama</v>
      </c>
      <c r="N410" s="8" t="s">
        <v>19</v>
      </c>
      <c r="R410" s="7" t="str">
        <f>IFERROR(__xludf.DUMMYFUNCTION("""COMPUTED_VALUE"""),"K")</f>
        <v>K</v>
      </c>
    </row>
    <row r="411" ht="22.5" customHeight="1">
      <c r="A411" s="6">
        <v>410.0</v>
      </c>
      <c r="B411" s="6" t="str">
        <f>IFERROR(__xludf.DUMMYFUNCTION("""COMPUTED_VALUE"""),"Pengelola Administrasi Perkantoran")</f>
        <v>Pengelola Administrasi Perkantoran</v>
      </c>
      <c r="C411" s="6" t="str">
        <f>IFERROR(__xludf.DUMMYFUNCTION("""COMPUTED_VALUE"""),"SMK Negeri 1 Kendari")</f>
        <v>SMK Negeri 1 Kendari</v>
      </c>
      <c r="F411" s="6" t="str">
        <f>IFERROR(__xludf.DUMMYFUNCTION("""COMPUTED_VALUE"""),"MUHAMMAD PADLAN JUSUP")</f>
        <v>MUHAMMAD PADLAN JUSUP</v>
      </c>
      <c r="G411" s="6" t="str">
        <f>IFERROR(__xludf.DUMMYFUNCTION("""COMPUTED_VALUE"""),"7471082903090002")</f>
        <v>7471082903090002</v>
      </c>
      <c r="J411" s="7" t="str">
        <f>IFERROR(__xludf.DUMMYFUNCTION("""COMPUTED_VALUE"""),"LAKI-LAKI")</f>
        <v>LAKI-LAKI</v>
      </c>
      <c r="K411" s="6" t="str">
        <f>IFERROR(__xludf.DUMMYFUNCTION("""COMPUTED_VALUE"""),"Jl. Beringin")</f>
        <v>Jl. Beringin</v>
      </c>
      <c r="N411" s="8" t="s">
        <v>19</v>
      </c>
      <c r="R411" s="7" t="str">
        <f>IFERROR(__xludf.DUMMYFUNCTION("""COMPUTED_VALUE"""),"BK")</f>
        <v>BK</v>
      </c>
    </row>
    <row r="412" ht="22.5" customHeight="1">
      <c r="A412" s="6">
        <v>411.0</v>
      </c>
      <c r="B412" s="6" t="str">
        <f>IFERROR(__xludf.DUMMYFUNCTION("""COMPUTED_VALUE"""),"Pengelola Administrasi Perkantoran")</f>
        <v>Pengelola Administrasi Perkantoran</v>
      </c>
      <c r="C412" s="6" t="str">
        <f>IFERROR(__xludf.DUMMYFUNCTION("""COMPUTED_VALUE"""),"SMK Negeri 1 Kendari")</f>
        <v>SMK Negeri 1 Kendari</v>
      </c>
      <c r="F412" s="6" t="str">
        <f>IFERROR(__xludf.DUMMYFUNCTION("""COMPUTED_VALUE"""),"NADIN SORAYA")</f>
        <v>NADIN SORAYA</v>
      </c>
      <c r="G412" s="6" t="str">
        <f>IFERROR(__xludf.DUMMYFUNCTION("""COMPUTED_VALUE"""),"7471105011080002")</f>
        <v>7471105011080002</v>
      </c>
      <c r="J412" s="7" t="str">
        <f>IFERROR(__xludf.DUMMYFUNCTION("""COMPUTED_VALUE"""),"PEREMPUAN")</f>
        <v>PEREMPUAN</v>
      </c>
      <c r="K412" s="6" t="str">
        <f>IFERROR(__xludf.DUMMYFUNCTION("""COMPUTED_VALUE"""),"Jl. H. Lamuse")</f>
        <v>Jl. H. Lamuse</v>
      </c>
      <c r="N412" s="8" t="s">
        <v>19</v>
      </c>
      <c r="R412" s="7" t="str">
        <f>IFERROR(__xludf.DUMMYFUNCTION("""COMPUTED_VALUE"""),"K")</f>
        <v>K</v>
      </c>
    </row>
    <row r="413" ht="22.5" customHeight="1">
      <c r="A413" s="6">
        <v>412.0</v>
      </c>
      <c r="B413" s="6" t="str">
        <f>IFERROR(__xludf.DUMMYFUNCTION("""COMPUTED_VALUE"""),"Pengelola Administrasi Perkantoran")</f>
        <v>Pengelola Administrasi Perkantoran</v>
      </c>
      <c r="C413" s="6" t="str">
        <f>IFERROR(__xludf.DUMMYFUNCTION("""COMPUTED_VALUE"""),"SMK Negeri 1 Kendari")</f>
        <v>SMK Negeri 1 Kendari</v>
      </c>
      <c r="F413" s="6" t="str">
        <f>IFERROR(__xludf.DUMMYFUNCTION("""COMPUTED_VALUE"""),"Nayla Putri")</f>
        <v>Nayla Putri</v>
      </c>
      <c r="G413" s="6" t="str">
        <f>IFERROR(__xludf.DUMMYFUNCTION("""COMPUTED_VALUE"""),"7471085201080001")</f>
        <v>7471085201080001</v>
      </c>
      <c r="J413" s="7" t="str">
        <f>IFERROR(__xludf.DUMMYFUNCTION("""COMPUTED_VALUE"""),"PEREMPUAN")</f>
        <v>PEREMPUAN</v>
      </c>
      <c r="K413" s="6" t="str">
        <f>IFERROR(__xludf.DUMMYFUNCTION("""COMPUTED_VALUE"""),"Jl. H. Supu Yusuf")</f>
        <v>Jl. H. Supu Yusuf</v>
      </c>
      <c r="N413" s="8" t="s">
        <v>19</v>
      </c>
      <c r="R413" s="7" t="str">
        <f>IFERROR(__xludf.DUMMYFUNCTION("""COMPUTED_VALUE"""),"K")</f>
        <v>K</v>
      </c>
    </row>
    <row r="414" ht="22.5" customHeight="1">
      <c r="A414" s="6">
        <v>413.0</v>
      </c>
      <c r="B414" s="6" t="str">
        <f>IFERROR(__xludf.DUMMYFUNCTION("""COMPUTED_VALUE"""),"Pengelola Administrasi Perkantoran")</f>
        <v>Pengelola Administrasi Perkantoran</v>
      </c>
      <c r="C414" s="6" t="str">
        <f>IFERROR(__xludf.DUMMYFUNCTION("""COMPUTED_VALUE"""),"SMK Negeri 1 Kendari")</f>
        <v>SMK Negeri 1 Kendari</v>
      </c>
      <c r="F414" s="6" t="str">
        <f>IFERROR(__xludf.DUMMYFUNCTION("""COMPUTED_VALUE"""),"Nur Aisyah Fatiha")</f>
        <v>Nur Aisyah Fatiha</v>
      </c>
      <c r="G414" s="6" t="str">
        <f>IFERROR(__xludf.DUMMYFUNCTION("""COMPUTED_VALUE"""),"7471015707080002")</f>
        <v>7471015707080002</v>
      </c>
      <c r="J414" s="7" t="str">
        <f>IFERROR(__xludf.DUMMYFUNCTION("""COMPUTED_VALUE"""),"PEREMPUAN")</f>
        <v>PEREMPUAN</v>
      </c>
      <c r="K414" s="6" t="str">
        <f>IFERROR(__xludf.DUMMYFUNCTION("""COMPUTED_VALUE"""),"Jalan Lawata")</f>
        <v>Jalan Lawata</v>
      </c>
      <c r="N414" s="8" t="s">
        <v>19</v>
      </c>
      <c r="R414" s="7" t="str">
        <f>IFERROR(__xludf.DUMMYFUNCTION("""COMPUTED_VALUE"""),"K")</f>
        <v>K</v>
      </c>
    </row>
    <row r="415" ht="22.5" customHeight="1">
      <c r="A415" s="6">
        <v>414.0</v>
      </c>
      <c r="B415" s="6" t="str">
        <f>IFERROR(__xludf.DUMMYFUNCTION("""COMPUTED_VALUE"""),"Pengelola Administrasi Perkantoran")</f>
        <v>Pengelola Administrasi Perkantoran</v>
      </c>
      <c r="C415" s="6" t="str">
        <f>IFERROR(__xludf.DUMMYFUNCTION("""COMPUTED_VALUE"""),"SMK Negeri 1 Kendari")</f>
        <v>SMK Negeri 1 Kendari</v>
      </c>
      <c r="F415" s="6" t="str">
        <f>IFERROR(__xludf.DUMMYFUNCTION("""COMPUTED_VALUE"""),"NURAIDARIM")</f>
        <v>NURAIDARIM</v>
      </c>
      <c r="G415" s="6" t="str">
        <f>IFERROR(__xludf.DUMMYFUNCTION("""COMPUTED_VALUE"""),"7471095412070001")</f>
        <v>7471095412070001</v>
      </c>
      <c r="J415" s="7" t="str">
        <f>IFERROR(__xludf.DUMMYFUNCTION("""COMPUTED_VALUE"""),"PEREMPUAN")</f>
        <v>PEREMPUAN</v>
      </c>
      <c r="K415" s="6" t="str">
        <f>IFERROR(__xludf.DUMMYFUNCTION("""COMPUTED_VALUE"""),"Jl. Gersamata")</f>
        <v>Jl. Gersamata</v>
      </c>
      <c r="N415" s="8" t="s">
        <v>19</v>
      </c>
      <c r="R415" s="7" t="str">
        <f>IFERROR(__xludf.DUMMYFUNCTION("""COMPUTED_VALUE"""),"K")</f>
        <v>K</v>
      </c>
    </row>
    <row r="416" ht="22.5" customHeight="1">
      <c r="A416" s="6">
        <v>415.0</v>
      </c>
      <c r="B416" s="6" t="str">
        <f>IFERROR(__xludf.DUMMYFUNCTION("""COMPUTED_VALUE"""),"Pengelola Administrasi Perkantoran")</f>
        <v>Pengelola Administrasi Perkantoran</v>
      </c>
      <c r="C416" s="6" t="str">
        <f>IFERROR(__xludf.DUMMYFUNCTION("""COMPUTED_VALUE"""),"SMK Negeri 1 Kendari")</f>
        <v>SMK Negeri 1 Kendari</v>
      </c>
      <c r="F416" s="6" t="str">
        <f>IFERROR(__xludf.DUMMYFUNCTION("""COMPUTED_VALUE"""),"NURUL ANGRAENI")</f>
        <v>NURUL ANGRAENI</v>
      </c>
      <c r="G416" s="6" t="str">
        <f>IFERROR(__xludf.DUMMYFUNCTION("""COMPUTED_VALUE"""),"7471086107070002")</f>
        <v>7471086107070002</v>
      </c>
      <c r="J416" s="7" t="str">
        <f>IFERROR(__xludf.DUMMYFUNCTION("""COMPUTED_VALUE"""),"PEREMPUAN")</f>
        <v>PEREMPUAN</v>
      </c>
      <c r="K416" s="6" t="str">
        <f>IFERROR(__xludf.DUMMYFUNCTION("""COMPUTED_VALUE"""),"Jl. Mekar Baru")</f>
        <v>Jl. Mekar Baru</v>
      </c>
      <c r="N416" s="8" t="s">
        <v>19</v>
      </c>
      <c r="R416" s="7" t="str">
        <f>IFERROR(__xludf.DUMMYFUNCTION("""COMPUTED_VALUE"""),"K")</f>
        <v>K</v>
      </c>
    </row>
    <row r="417" ht="22.5" customHeight="1">
      <c r="A417" s="6">
        <v>416.0</v>
      </c>
      <c r="B417" s="6" t="str">
        <f>IFERROR(__xludf.DUMMYFUNCTION("""COMPUTED_VALUE"""),"Pengelola Administrasi Perkantoran")</f>
        <v>Pengelola Administrasi Perkantoran</v>
      </c>
      <c r="C417" s="6" t="str">
        <f>IFERROR(__xludf.DUMMYFUNCTION("""COMPUTED_VALUE"""),"SMK Negeri 1 Kendari")</f>
        <v>SMK Negeri 1 Kendari</v>
      </c>
      <c r="F417" s="6" t="str">
        <f>IFERROR(__xludf.DUMMYFUNCTION("""COMPUTED_VALUE"""),"NURUL FAJRIA")</f>
        <v>NURUL FAJRIA</v>
      </c>
      <c r="G417" s="6" t="str">
        <f>IFERROR(__xludf.DUMMYFUNCTION("""COMPUTED_VALUE"""),"7402076111080002")</f>
        <v>7402076111080002</v>
      </c>
      <c r="J417" s="7" t="str">
        <f>IFERROR(__xludf.DUMMYFUNCTION("""COMPUTED_VALUE"""),"PEREMPUAN")</f>
        <v>PEREMPUAN</v>
      </c>
      <c r="K417" s="6" t="str">
        <f>IFERROR(__xludf.DUMMYFUNCTION("""COMPUTED_VALUE"""),"Jl. Nalai Kota III Permai ")</f>
        <v>Jl. Nalai Kota III Permai </v>
      </c>
      <c r="N417" s="8" t="s">
        <v>19</v>
      </c>
      <c r="R417" s="7" t="str">
        <f>IFERROR(__xludf.DUMMYFUNCTION("""COMPUTED_VALUE"""),"K")</f>
        <v>K</v>
      </c>
    </row>
    <row r="418" ht="22.5" customHeight="1">
      <c r="A418" s="6">
        <v>417.0</v>
      </c>
      <c r="B418" s="6" t="str">
        <f>IFERROR(__xludf.DUMMYFUNCTION("""COMPUTED_VALUE"""),"Pengelola Administrasi Perkantoran")</f>
        <v>Pengelola Administrasi Perkantoran</v>
      </c>
      <c r="C418" s="6" t="str">
        <f>IFERROR(__xludf.DUMMYFUNCTION("""COMPUTED_VALUE"""),"SMK Negeri 1 Kendari")</f>
        <v>SMK Negeri 1 Kendari</v>
      </c>
      <c r="F418" s="6" t="str">
        <f>IFERROR(__xludf.DUMMYFUNCTION("""COMPUTED_VALUE"""),"QEYRA AMALIA YASIN")</f>
        <v>QEYRA AMALIA YASIN</v>
      </c>
      <c r="G418" s="6" t="str">
        <f>IFERROR(__xludf.DUMMYFUNCTION("""COMPUTED_VALUE"""),"7471085402070001")</f>
        <v>7471085402070001</v>
      </c>
      <c r="J418" s="7" t="str">
        <f>IFERROR(__xludf.DUMMYFUNCTION("""COMPUTED_VALUE"""),"PEREMPUAN")</f>
        <v>PEREMPUAN</v>
      </c>
      <c r="K418" s="6" t="str">
        <f>IFERROR(__xludf.DUMMYFUNCTION("""COMPUTED_VALUE"""),"Jl. Kadia")</f>
        <v>Jl. Kadia</v>
      </c>
      <c r="N418" s="8" t="s">
        <v>19</v>
      </c>
      <c r="R418" s="7" t="str">
        <f>IFERROR(__xludf.DUMMYFUNCTION("""COMPUTED_VALUE"""),"BK")</f>
        <v>BK</v>
      </c>
    </row>
    <row r="419" ht="22.5" customHeight="1">
      <c r="A419" s="6">
        <v>418.0</v>
      </c>
      <c r="B419" s="6" t="str">
        <f>IFERROR(__xludf.DUMMYFUNCTION("""COMPUTED_VALUE"""),"Pengelola Administrasi Perkantoran")</f>
        <v>Pengelola Administrasi Perkantoran</v>
      </c>
      <c r="C419" s="6" t="str">
        <f>IFERROR(__xludf.DUMMYFUNCTION("""COMPUTED_VALUE"""),"SMK Negeri 1 Kendari")</f>
        <v>SMK Negeri 1 Kendari</v>
      </c>
      <c r="F419" s="6" t="str">
        <f>IFERROR(__xludf.DUMMYFUNCTION("""COMPUTED_VALUE"""),"RESKI FITRIANI")</f>
        <v>RESKI FITRIANI</v>
      </c>
      <c r="G419" s="6" t="str">
        <f>IFERROR(__xludf.DUMMYFUNCTION("""COMPUTED_VALUE"""),"7471084110080002")</f>
        <v>7471084110080002</v>
      </c>
      <c r="J419" s="7" t="str">
        <f>IFERROR(__xludf.DUMMYFUNCTION("""COMPUTED_VALUE"""),"PEREMPUAN")</f>
        <v>PEREMPUAN</v>
      </c>
      <c r="K419" s="6" t="str">
        <f>IFERROR(__xludf.DUMMYFUNCTION("""COMPUTED_VALUE"""),"Jl. Mt Haryono, Pasar Baru")</f>
        <v>Jl. Mt Haryono, Pasar Baru</v>
      </c>
      <c r="N419" s="8" t="s">
        <v>19</v>
      </c>
      <c r="R419" s="7" t="str">
        <f>IFERROR(__xludf.DUMMYFUNCTION("""COMPUTED_VALUE"""),"K")</f>
        <v>K</v>
      </c>
    </row>
    <row r="420" ht="22.5" customHeight="1">
      <c r="A420" s="6">
        <v>419.0</v>
      </c>
      <c r="B420" s="6" t="str">
        <f>IFERROR(__xludf.DUMMYFUNCTION("""COMPUTED_VALUE"""),"Pengelola Administrasi Perkantoran")</f>
        <v>Pengelola Administrasi Perkantoran</v>
      </c>
      <c r="C420" s="6" t="str">
        <f>IFERROR(__xludf.DUMMYFUNCTION("""COMPUTED_VALUE"""),"SMK Negeri 1 Kendari")</f>
        <v>SMK Negeri 1 Kendari</v>
      </c>
      <c r="F420" s="6" t="str">
        <f>IFERROR(__xludf.DUMMYFUNCTION("""COMPUTED_VALUE"""),"RESKI YULIANA")</f>
        <v>RESKI YULIANA</v>
      </c>
      <c r="G420" s="6" t="str">
        <f>IFERROR(__xludf.DUMMYFUNCTION("""COMPUTED_VALUE"""),"7471014107090004")</f>
        <v>7471014107090004</v>
      </c>
      <c r="J420" s="7" t="str">
        <f>IFERROR(__xludf.DUMMYFUNCTION("""COMPUTED_VALUE"""),"PEREMPUAN")</f>
        <v>PEREMPUAN</v>
      </c>
      <c r="K420" s="6" t="str">
        <f>IFERROR(__xludf.DUMMYFUNCTION("""COMPUTED_VALUE"""),"Jl. R. Supratno, Lr. Alam Jaya No. 3")</f>
        <v>Jl. R. Supratno, Lr. Alam Jaya No. 3</v>
      </c>
      <c r="N420" s="8" t="s">
        <v>19</v>
      </c>
      <c r="R420" s="7" t="str">
        <f>IFERROR(__xludf.DUMMYFUNCTION("""COMPUTED_VALUE"""),"K")</f>
        <v>K</v>
      </c>
    </row>
    <row r="421" ht="22.5" customHeight="1">
      <c r="A421" s="6">
        <v>420.0</v>
      </c>
      <c r="B421" s="6" t="str">
        <f>IFERROR(__xludf.DUMMYFUNCTION("""COMPUTED_VALUE"""),"Pengelola Administrasi Perkantoran")</f>
        <v>Pengelola Administrasi Perkantoran</v>
      </c>
      <c r="C421" s="6" t="str">
        <f>IFERROR(__xludf.DUMMYFUNCTION("""COMPUTED_VALUE"""),"SMK Negeri 1 Kendari")</f>
        <v>SMK Negeri 1 Kendari</v>
      </c>
      <c r="F421" s="6" t="str">
        <f>IFERROR(__xludf.DUMMYFUNCTION("""COMPUTED_VALUE"""),"SITI NURJANNAH")</f>
        <v>SITI NURJANNAH</v>
      </c>
      <c r="G421" s="6" t="str">
        <f>IFERROR(__xludf.DUMMYFUNCTION("""COMPUTED_VALUE"""),"7471094406080001")</f>
        <v>7471094406080001</v>
      </c>
      <c r="J421" s="7" t="str">
        <f>IFERROR(__xludf.DUMMYFUNCTION("""COMPUTED_VALUE"""),"PEREMPUAN")</f>
        <v>PEREMPUAN</v>
      </c>
      <c r="K421" s="6" t="str">
        <f>IFERROR(__xludf.DUMMYFUNCTION("""COMPUTED_VALUE"""),"Jl. Ahmad Yani Lr. Makmur")</f>
        <v>Jl. Ahmad Yani Lr. Makmur</v>
      </c>
      <c r="N421" s="8" t="s">
        <v>19</v>
      </c>
      <c r="R421" s="7" t="str">
        <f>IFERROR(__xludf.DUMMYFUNCTION("""COMPUTED_VALUE"""),"K")</f>
        <v>K</v>
      </c>
    </row>
    <row r="422" ht="22.5" customHeight="1">
      <c r="A422" s="6">
        <v>421.0</v>
      </c>
      <c r="B422" s="6" t="str">
        <f>IFERROR(__xludf.DUMMYFUNCTION("""COMPUTED_VALUE"""),"Pengelola Administrasi Perkantoran")</f>
        <v>Pengelola Administrasi Perkantoran</v>
      </c>
      <c r="C422" s="6" t="str">
        <f>IFERROR(__xludf.DUMMYFUNCTION("""COMPUTED_VALUE"""),"SMK Negeri 1 Kendari")</f>
        <v>SMK Negeri 1 Kendari</v>
      </c>
      <c r="F422" s="6" t="str">
        <f>IFERROR(__xludf.DUMMYFUNCTION("""COMPUTED_VALUE"""),"Suci Ramadhan")</f>
        <v>Suci Ramadhan</v>
      </c>
      <c r="G422" s="6" t="str">
        <f>IFERROR(__xludf.DUMMYFUNCTION("""COMPUTED_VALUE"""),"7471014210070002")</f>
        <v>7471014210070002</v>
      </c>
      <c r="J422" s="7" t="str">
        <f>IFERROR(__xludf.DUMMYFUNCTION("""COMPUTED_VALUE"""),"PEREMPUAN")</f>
        <v>PEREMPUAN</v>
      </c>
      <c r="K422" s="6" t="str">
        <f>IFERROR(__xludf.DUMMYFUNCTION("""COMPUTED_VALUE"""),"-")</f>
        <v>-</v>
      </c>
      <c r="N422" s="8" t="s">
        <v>19</v>
      </c>
      <c r="R422" s="7" t="str">
        <f>IFERROR(__xludf.DUMMYFUNCTION("""COMPUTED_VALUE"""),"K")</f>
        <v>K</v>
      </c>
    </row>
    <row r="423" ht="22.5" customHeight="1">
      <c r="A423" s="6">
        <v>422.0</v>
      </c>
      <c r="B423" s="6" t="str">
        <f>IFERROR(__xludf.DUMMYFUNCTION("""COMPUTED_VALUE"""),"Pengelola Administrasi Perkantoran")</f>
        <v>Pengelola Administrasi Perkantoran</v>
      </c>
      <c r="C423" s="6" t="str">
        <f>IFERROR(__xludf.DUMMYFUNCTION("""COMPUTED_VALUE"""),"SMK Negeri 1 Kendari")</f>
        <v>SMK Negeri 1 Kendari</v>
      </c>
      <c r="F423" s="6" t="str">
        <f>IFERROR(__xludf.DUMMYFUNCTION("""COMPUTED_VALUE"""),"ZALZA BILLAH")</f>
        <v>ZALZA BILLAH</v>
      </c>
      <c r="G423" s="6" t="str">
        <f>IFERROR(__xludf.DUMMYFUNCTION("""COMPUTED_VALUE"""),"7471086704080001")</f>
        <v>7471086704080001</v>
      </c>
      <c r="J423" s="7" t="str">
        <f>IFERROR(__xludf.DUMMYFUNCTION("""COMPUTED_VALUE"""),"PEREMPUAN")</f>
        <v>PEREMPUAN</v>
      </c>
      <c r="K423" s="6" t="str">
        <f>IFERROR(__xludf.DUMMYFUNCTION("""COMPUTED_VALUE"""),"Jalan Mekar Baru")</f>
        <v>Jalan Mekar Baru</v>
      </c>
      <c r="N423" s="8" t="s">
        <v>19</v>
      </c>
      <c r="R423" s="7" t="str">
        <f>IFERROR(__xludf.DUMMYFUNCTION("""COMPUTED_VALUE"""),"K")</f>
        <v>K</v>
      </c>
    </row>
    <row r="424" ht="22.5" customHeight="1">
      <c r="A424" s="6">
        <v>423.0</v>
      </c>
      <c r="B424" s="6" t="str">
        <f>IFERROR(__xludf.DUMMYFUNCTION("""COMPUTED_VALUE"""),"Pengelola Administrasi Perkantoran")</f>
        <v>Pengelola Administrasi Perkantoran</v>
      </c>
      <c r="C424" s="6" t="str">
        <f>IFERROR(__xludf.DUMMYFUNCTION("""COMPUTED_VALUE"""),"SMK Negeri 1 Kendari")</f>
        <v>SMK Negeri 1 Kendari</v>
      </c>
      <c r="F424" s="6" t="str">
        <f>IFERROR(__xludf.DUMMYFUNCTION("""COMPUTED_VALUE"""),"Alya Zakinah Ilham")</f>
        <v>Alya Zakinah Ilham</v>
      </c>
      <c r="G424" s="6" t="str">
        <f>IFERROR(__xludf.DUMMYFUNCTION("""COMPUTED_VALUE"""),"7471054312070001")</f>
        <v>7471054312070001</v>
      </c>
      <c r="J424" s="7" t="str">
        <f>IFERROR(__xludf.DUMMYFUNCTION("""COMPUTED_VALUE"""),"PEREMPUAN")</f>
        <v>PEREMPUAN</v>
      </c>
      <c r="K424" s="6" t="str">
        <f>IFERROR(__xludf.DUMMYFUNCTION("""COMPUTED_VALUE"""),"Jl. Pattimura, Kel. Watulondo, Kec. Puuwatu")</f>
        <v>Jl. Pattimura, Kel. Watulondo, Kec. Puuwatu</v>
      </c>
      <c r="N424" s="8" t="s">
        <v>19</v>
      </c>
      <c r="R424" s="7" t="str">
        <f>IFERROR(__xludf.DUMMYFUNCTION("""COMPUTED_VALUE"""),"K")</f>
        <v>K</v>
      </c>
    </row>
    <row r="425" ht="22.5" customHeight="1">
      <c r="A425" s="6">
        <v>424.0</v>
      </c>
      <c r="B425" s="6" t="str">
        <f>IFERROR(__xludf.DUMMYFUNCTION("""COMPUTED_VALUE"""),"Pengelola Administrasi Perkantoran")</f>
        <v>Pengelola Administrasi Perkantoran</v>
      </c>
      <c r="C425" s="6" t="str">
        <f>IFERROR(__xludf.DUMMYFUNCTION("""COMPUTED_VALUE"""),"SMK Negeri 1 Kendari")</f>
        <v>SMK Negeri 1 Kendari</v>
      </c>
      <c r="F425" s="6" t="str">
        <f>IFERROR(__xludf.DUMMYFUNCTION("""COMPUTED_VALUE"""),"ANUGERAH PRAWIRA FAHMI")</f>
        <v>ANUGERAH PRAWIRA FAHMI</v>
      </c>
      <c r="G425" s="6" t="str">
        <f>IFERROR(__xludf.DUMMYFUNCTION("""COMPUTED_VALUE"""),"7471070810080001")</f>
        <v>7471070810080001</v>
      </c>
      <c r="J425" s="7" t="str">
        <f>IFERROR(__xludf.DUMMYFUNCTION("""COMPUTED_VALUE"""),"LAKI-LAKI")</f>
        <v>LAKI-LAKI</v>
      </c>
      <c r="K425" s="6" t="str">
        <f>IFERROR(__xludf.DUMMYFUNCTION("""COMPUTED_VALUE""")," ")</f>
        <v> </v>
      </c>
      <c r="N425" s="8" t="s">
        <v>19</v>
      </c>
      <c r="R425" s="7" t="str">
        <f>IFERROR(__xludf.DUMMYFUNCTION("""COMPUTED_VALUE"""),"K")</f>
        <v>K</v>
      </c>
    </row>
    <row r="426" ht="22.5" customHeight="1">
      <c r="A426" s="6">
        <v>425.0</v>
      </c>
      <c r="B426" s="6" t="str">
        <f>IFERROR(__xludf.DUMMYFUNCTION("""COMPUTED_VALUE"""),"Pengelola Administrasi Perkantoran")</f>
        <v>Pengelola Administrasi Perkantoran</v>
      </c>
      <c r="C426" s="6" t="str">
        <f>IFERROR(__xludf.DUMMYFUNCTION("""COMPUTED_VALUE"""),"SMK Negeri 1 Kendari")</f>
        <v>SMK Negeri 1 Kendari</v>
      </c>
      <c r="F426" s="6" t="str">
        <f>IFERROR(__xludf.DUMMYFUNCTION("""COMPUTED_VALUE"""),"ASRIANI")</f>
        <v>ASRIANI</v>
      </c>
      <c r="G426" s="6" t="str">
        <f>IFERROR(__xludf.DUMMYFUNCTION("""COMPUTED_VALUE"""),"7471026105080001")</f>
        <v>7471026105080001</v>
      </c>
      <c r="J426" s="7" t="str">
        <f>IFERROR(__xludf.DUMMYFUNCTION("""COMPUTED_VALUE"""),"PEREMPUAN")</f>
        <v>PEREMPUAN</v>
      </c>
      <c r="K426" s="6" t="str">
        <f>IFERROR(__xludf.DUMMYFUNCTION("""COMPUTED_VALUE"""),"Jl. Anawai BTN Bumi Anawai Land")</f>
        <v>Jl. Anawai BTN Bumi Anawai Land</v>
      </c>
      <c r="N426" s="8" t="s">
        <v>19</v>
      </c>
      <c r="R426" s="7" t="str">
        <f>IFERROR(__xludf.DUMMYFUNCTION("""COMPUTED_VALUE"""),"K")</f>
        <v>K</v>
      </c>
    </row>
    <row r="427" ht="22.5" customHeight="1">
      <c r="A427" s="6">
        <v>426.0</v>
      </c>
      <c r="B427" s="6" t="str">
        <f>IFERROR(__xludf.DUMMYFUNCTION("""COMPUTED_VALUE"""),"Pengelola Administrasi Perkantoran")</f>
        <v>Pengelola Administrasi Perkantoran</v>
      </c>
      <c r="C427" s="6" t="str">
        <f>IFERROR(__xludf.DUMMYFUNCTION("""COMPUTED_VALUE"""),"SMK Negeri 1 Kendari")</f>
        <v>SMK Negeri 1 Kendari</v>
      </c>
      <c r="F427" s="6" t="str">
        <f>IFERROR(__xludf.DUMMYFUNCTION("""COMPUTED_VALUE"""),"Belisyah Putri")</f>
        <v>Belisyah Putri</v>
      </c>
      <c r="G427" s="6" t="str">
        <f>IFERROR(__xludf.DUMMYFUNCTION("""COMPUTED_VALUE"""),"7471094107040011")</f>
        <v>7471094107040011</v>
      </c>
      <c r="J427" s="7" t="str">
        <f>IFERROR(__xludf.DUMMYFUNCTION("""COMPUTED_VALUE"""),"PEREMPUAN")</f>
        <v>PEREMPUAN</v>
      </c>
      <c r="K427" s="6" t="str">
        <f>IFERROR(__xludf.DUMMYFUNCTION("""COMPUTED_VALUE"""),"Jln. Budi Utomo/ Lrg. Mangga")</f>
        <v>Jln. Budi Utomo/ Lrg. Mangga</v>
      </c>
      <c r="N427" s="8" t="s">
        <v>19</v>
      </c>
      <c r="R427" s="7" t="str">
        <f>IFERROR(__xludf.DUMMYFUNCTION("""COMPUTED_VALUE"""),"K")</f>
        <v>K</v>
      </c>
    </row>
    <row r="428" ht="22.5" customHeight="1">
      <c r="A428" s="6">
        <v>427.0</v>
      </c>
      <c r="B428" s="6" t="str">
        <f>IFERROR(__xludf.DUMMYFUNCTION("""COMPUTED_VALUE"""),"Pengelola Administrasi Perkantoran")</f>
        <v>Pengelola Administrasi Perkantoran</v>
      </c>
      <c r="C428" s="6" t="str">
        <f>IFERROR(__xludf.DUMMYFUNCTION("""COMPUTED_VALUE"""),"SMK Negeri 1 Kendari")</f>
        <v>SMK Negeri 1 Kendari</v>
      </c>
      <c r="F428" s="6" t="str">
        <f>IFERROR(__xludf.DUMMYFUNCTION("""COMPUTED_VALUE"""),"DITA")</f>
        <v>DITA</v>
      </c>
      <c r="G428" s="6" t="str">
        <f>IFERROR(__xludf.DUMMYFUNCTION("""COMPUTED_VALUE"""),"7471095203080001")</f>
        <v>7471095203080001</v>
      </c>
      <c r="J428" s="7" t="str">
        <f>IFERROR(__xludf.DUMMYFUNCTION("""COMPUTED_VALUE"""),"PEREMPUAN")</f>
        <v>PEREMPUAN</v>
      </c>
      <c r="K428" s="6" t="str">
        <f>IFERROR(__xludf.DUMMYFUNCTION("""COMPUTED_VALUE"""),"Jl. Ahmad Yani, Lorong Sahabat")</f>
        <v>Jl. Ahmad Yani, Lorong Sahabat</v>
      </c>
      <c r="N428" s="8" t="s">
        <v>19</v>
      </c>
      <c r="R428" s="7" t="str">
        <f>IFERROR(__xludf.DUMMYFUNCTION("""COMPUTED_VALUE"""),"K")</f>
        <v>K</v>
      </c>
    </row>
    <row r="429" ht="22.5" customHeight="1">
      <c r="A429" s="6">
        <v>428.0</v>
      </c>
      <c r="B429" s="6" t="str">
        <f>IFERROR(__xludf.DUMMYFUNCTION("""COMPUTED_VALUE"""),"Pengelola Administrasi Perkantoran")</f>
        <v>Pengelola Administrasi Perkantoran</v>
      </c>
      <c r="C429" s="6" t="str">
        <f>IFERROR(__xludf.DUMMYFUNCTION("""COMPUTED_VALUE"""),"SMK Negeri 1 Kendari")</f>
        <v>SMK Negeri 1 Kendari</v>
      </c>
      <c r="F429" s="6" t="str">
        <f>IFERROR(__xludf.DUMMYFUNCTION("""COMPUTED_VALUE"""),"ELSA NURSEPTIANI")</f>
        <v>ELSA NURSEPTIANI</v>
      </c>
      <c r="G429" s="6" t="str">
        <f>IFERROR(__xludf.DUMMYFUNCTION("""COMPUTED_VALUE"""),"7471084209070001")</f>
        <v>7471084209070001</v>
      </c>
      <c r="J429" s="7" t="str">
        <f>IFERROR(__xludf.DUMMYFUNCTION("""COMPUTED_VALUE"""),"PEREMPUAN")</f>
        <v>PEREMPUAN</v>
      </c>
      <c r="K429" s="6" t="str">
        <f>IFERROR(__xludf.DUMMYFUNCTION("""COMPUTED_VALUE"""),"Jl. Mekar, Lr. Masjid Darul Mu'minin")</f>
        <v>Jl. Mekar, Lr. Masjid Darul Mu'minin</v>
      </c>
      <c r="N429" s="8" t="s">
        <v>19</v>
      </c>
      <c r="R429" s="7" t="str">
        <f>IFERROR(__xludf.DUMMYFUNCTION("""COMPUTED_VALUE"""),"K")</f>
        <v>K</v>
      </c>
    </row>
    <row r="430" ht="22.5" customHeight="1">
      <c r="A430" s="6">
        <v>429.0</v>
      </c>
      <c r="B430" s="6" t="str">
        <f>IFERROR(__xludf.DUMMYFUNCTION("""COMPUTED_VALUE"""),"Pengelola Administrasi Perkantoran")</f>
        <v>Pengelola Administrasi Perkantoran</v>
      </c>
      <c r="C430" s="6" t="str">
        <f>IFERROR(__xludf.DUMMYFUNCTION("""COMPUTED_VALUE"""),"SMK Negeri 1 Kendari")</f>
        <v>SMK Negeri 1 Kendari</v>
      </c>
      <c r="F430" s="6" t="str">
        <f>IFERROR(__xludf.DUMMYFUNCTION("""COMPUTED_VALUE"""),"FAIS KHOIRUN NIAM")</f>
        <v>FAIS KHOIRUN NIAM</v>
      </c>
      <c r="G430" s="6" t="str">
        <f>IFERROR(__xludf.DUMMYFUNCTION("""COMPUTED_VALUE"""),"7471085202080002")</f>
        <v>7471085202080002</v>
      </c>
      <c r="J430" s="7" t="str">
        <f>IFERROR(__xludf.DUMMYFUNCTION("""COMPUTED_VALUE"""),"PEREMPUAN")</f>
        <v>PEREMPUAN</v>
      </c>
      <c r="K430" s="6" t="str">
        <f>IFERROR(__xludf.DUMMYFUNCTION("""COMPUTED_VALUE"""),"Jalan Brigjen M. Yonoes")</f>
        <v>Jalan Brigjen M. Yonoes</v>
      </c>
      <c r="N430" s="8" t="s">
        <v>19</v>
      </c>
      <c r="R430" s="7" t="str">
        <f>IFERROR(__xludf.DUMMYFUNCTION("""COMPUTED_VALUE"""),"K")</f>
        <v>K</v>
      </c>
    </row>
    <row r="431" ht="22.5" customHeight="1">
      <c r="A431" s="6">
        <v>430.0</v>
      </c>
      <c r="B431" s="6" t="str">
        <f>IFERROR(__xludf.DUMMYFUNCTION("""COMPUTED_VALUE"""),"Pengelola Administrasi Perkantoran")</f>
        <v>Pengelola Administrasi Perkantoran</v>
      </c>
      <c r="C431" s="6" t="str">
        <f>IFERROR(__xludf.DUMMYFUNCTION("""COMPUTED_VALUE"""),"SMK Negeri 1 Kendari")</f>
        <v>SMK Negeri 1 Kendari</v>
      </c>
      <c r="F431" s="6" t="str">
        <f>IFERROR(__xludf.DUMMYFUNCTION("""COMPUTED_VALUE"""),"KHALISHAH")</f>
        <v>KHALISHAH</v>
      </c>
      <c r="G431" s="6" t="str">
        <f>IFERROR(__xludf.DUMMYFUNCTION("""COMPUTED_VALUE"""),"7471095008080001")</f>
        <v>7471095008080001</v>
      </c>
      <c r="J431" s="7" t="str">
        <f>IFERROR(__xludf.DUMMYFUNCTION("""COMPUTED_VALUE"""),"PEREMPUAN")</f>
        <v>PEREMPUAN</v>
      </c>
      <c r="K431" s="6" t="str">
        <f>IFERROR(__xludf.DUMMYFUNCTION("""COMPUTED_VALUE"""),"Jl. Gersamata, Kec. Wua-wua, Kel. Mataiwoi")</f>
        <v>Jl. Gersamata, Kec. Wua-wua, Kel. Mataiwoi</v>
      </c>
      <c r="N431" s="8" t="s">
        <v>19</v>
      </c>
      <c r="R431" s="7" t="str">
        <f>IFERROR(__xludf.DUMMYFUNCTION("""COMPUTED_VALUE"""),"K")</f>
        <v>K</v>
      </c>
    </row>
    <row r="432" ht="22.5" customHeight="1">
      <c r="A432" s="6">
        <v>431.0</v>
      </c>
      <c r="B432" s="6" t="str">
        <f>IFERROR(__xludf.DUMMYFUNCTION("""COMPUTED_VALUE"""),"Pengelola Administrasi Perkantoran")</f>
        <v>Pengelola Administrasi Perkantoran</v>
      </c>
      <c r="C432" s="6" t="str">
        <f>IFERROR(__xludf.DUMMYFUNCTION("""COMPUTED_VALUE"""),"SMK Negeri 1 Kendari")</f>
        <v>SMK Negeri 1 Kendari</v>
      </c>
      <c r="F432" s="6" t="str">
        <f>IFERROR(__xludf.DUMMYFUNCTION("""COMPUTED_VALUE"""),"MENTARI CHAYANI")</f>
        <v>MENTARI CHAYANI</v>
      </c>
      <c r="G432" s="6" t="str">
        <f>IFERROR(__xludf.DUMMYFUNCTION("""COMPUTED_VALUE"""),"7471086807080001")</f>
        <v>7471086807080001</v>
      </c>
      <c r="J432" s="7" t="str">
        <f>IFERROR(__xludf.DUMMYFUNCTION("""COMPUTED_VALUE"""),"PEREMPUAN")</f>
        <v>PEREMPUAN</v>
      </c>
      <c r="K432" s="6" t="str">
        <f>IFERROR(__xludf.DUMMYFUNCTION("""COMPUTED_VALUE"""),"Jalan Sao-Sao No 13 Blok I")</f>
        <v>Jalan Sao-Sao No 13 Blok I</v>
      </c>
      <c r="N432" s="8" t="s">
        <v>19</v>
      </c>
      <c r="R432" s="7" t="str">
        <f>IFERROR(__xludf.DUMMYFUNCTION("""COMPUTED_VALUE"""),"K")</f>
        <v>K</v>
      </c>
    </row>
    <row r="433" ht="22.5" customHeight="1">
      <c r="A433" s="6">
        <v>432.0</v>
      </c>
      <c r="B433" s="6" t="str">
        <f>IFERROR(__xludf.DUMMYFUNCTION("""COMPUTED_VALUE"""),"Pengelola Administrasi Perkantoran")</f>
        <v>Pengelola Administrasi Perkantoran</v>
      </c>
      <c r="C433" s="6" t="str">
        <f>IFERROR(__xludf.DUMMYFUNCTION("""COMPUTED_VALUE"""),"SMK Negeri 1 Kendari")</f>
        <v>SMK Negeri 1 Kendari</v>
      </c>
      <c r="F433" s="6" t="str">
        <f>IFERROR(__xludf.DUMMYFUNCTION("""COMPUTED_VALUE"""),"Muh. Haikal Maulana")</f>
        <v>Muh. Haikal Maulana</v>
      </c>
      <c r="G433" s="6" t="str">
        <f>IFERROR(__xludf.DUMMYFUNCTION("""COMPUTED_VALUE"""),"7471012810080001")</f>
        <v>7471012810080001</v>
      </c>
      <c r="J433" s="7" t="str">
        <f>IFERROR(__xludf.DUMMYFUNCTION("""COMPUTED_VALUE"""),"LAKI-LAKI")</f>
        <v>LAKI-LAKI</v>
      </c>
      <c r="K433" s="6" t="str">
        <f>IFERROR(__xludf.DUMMYFUNCTION("""COMPUTED_VALUE"""),"Jln. Laute I No. 17 B")</f>
        <v>Jln. Laute I No. 17 B</v>
      </c>
      <c r="N433" s="8" t="s">
        <v>19</v>
      </c>
      <c r="R433" s="7" t="str">
        <f>IFERROR(__xludf.DUMMYFUNCTION("""COMPUTED_VALUE"""),"K")</f>
        <v>K</v>
      </c>
    </row>
    <row r="434" ht="22.5" customHeight="1">
      <c r="A434" s="6">
        <v>433.0</v>
      </c>
      <c r="B434" s="6" t="str">
        <f>IFERROR(__xludf.DUMMYFUNCTION("""COMPUTED_VALUE"""),"Pengelola Administrasi Perkantoran")</f>
        <v>Pengelola Administrasi Perkantoran</v>
      </c>
      <c r="C434" s="6" t="str">
        <f>IFERROR(__xludf.DUMMYFUNCTION("""COMPUTED_VALUE"""),"SMK Negeri 1 Kendari")</f>
        <v>SMK Negeri 1 Kendari</v>
      </c>
      <c r="F434" s="6" t="str">
        <f>IFERROR(__xludf.DUMMYFUNCTION("""COMPUTED_VALUE"""),"MUTMAINNAH")</f>
        <v>MUTMAINNAH</v>
      </c>
      <c r="G434" s="6" t="str">
        <f>IFERROR(__xludf.DUMMYFUNCTION("""COMPUTED_VALUE"""),"7471016109080001")</f>
        <v>7471016109080001</v>
      </c>
      <c r="J434" s="7" t="str">
        <f>IFERROR(__xludf.DUMMYFUNCTION("""COMPUTED_VALUE"""),"PEREMPUAN")</f>
        <v>PEREMPUAN</v>
      </c>
      <c r="K434" s="6" t="str">
        <f>IFERROR(__xludf.DUMMYFUNCTION("""COMPUTED_VALUE"""),"Jln Imam Bonjol")</f>
        <v>Jln Imam Bonjol</v>
      </c>
      <c r="N434" s="8" t="s">
        <v>19</v>
      </c>
      <c r="R434" s="7" t="str">
        <f>IFERROR(__xludf.DUMMYFUNCTION("""COMPUTED_VALUE"""),"K")</f>
        <v>K</v>
      </c>
    </row>
    <row r="435" ht="22.5" customHeight="1">
      <c r="A435" s="6">
        <v>434.0</v>
      </c>
      <c r="B435" s="6" t="str">
        <f>IFERROR(__xludf.DUMMYFUNCTION("""COMPUTED_VALUE"""),"Pengelola Administrasi Perkantoran")</f>
        <v>Pengelola Administrasi Perkantoran</v>
      </c>
      <c r="C435" s="6" t="str">
        <f>IFERROR(__xludf.DUMMYFUNCTION("""COMPUTED_VALUE"""),"SMK Negeri 1 Kendari")</f>
        <v>SMK Negeri 1 Kendari</v>
      </c>
      <c r="F435" s="6" t="str">
        <f>IFERROR(__xludf.DUMMYFUNCTION("""COMPUTED_VALUE"""),"NOVA PUSPITA SARI ABD. SALAM")</f>
        <v>NOVA PUSPITA SARI ABD. SALAM</v>
      </c>
      <c r="G435" s="6" t="str">
        <f>IFERROR(__xludf.DUMMYFUNCTION("""COMPUTED_VALUE"""),"7471015211080001")</f>
        <v>7471015211080001</v>
      </c>
      <c r="J435" s="7" t="str">
        <f>IFERROR(__xludf.DUMMYFUNCTION("""COMPUTED_VALUE"""),"PEREMPUAN")</f>
        <v>PEREMPUAN</v>
      </c>
      <c r="K435" s="6" t="str">
        <f>IFERROR(__xludf.DUMMYFUNCTION("""COMPUTED_VALUE"""),"Jl. Bersih Hatiku")</f>
        <v>Jl. Bersih Hatiku</v>
      </c>
      <c r="N435" s="8" t="s">
        <v>19</v>
      </c>
      <c r="R435" s="7" t="str">
        <f>IFERROR(__xludf.DUMMYFUNCTION("""COMPUTED_VALUE"""),"K")</f>
        <v>K</v>
      </c>
    </row>
    <row r="436" ht="22.5" customHeight="1">
      <c r="A436" s="6">
        <v>435.0</v>
      </c>
      <c r="B436" s="6" t="str">
        <f>IFERROR(__xludf.DUMMYFUNCTION("""COMPUTED_VALUE"""),"Desainer Grafis Muda")</f>
        <v>Desainer Grafis Muda</v>
      </c>
      <c r="C436" s="6" t="str">
        <f>IFERROR(__xludf.DUMMYFUNCTION("""COMPUTED_VALUE"""),"SMK Negeri 4 Kendari")</f>
        <v>SMK Negeri 4 Kendari</v>
      </c>
      <c r="F436" s="6" t="str">
        <f>IFERROR(__xludf.DUMMYFUNCTION("""COMPUTED_VALUE"""),"Aditya Syarief")</f>
        <v>Aditya Syarief</v>
      </c>
      <c r="G436" s="13" t="str">
        <f>IFERROR(__xludf.DUMMYFUNCTION("""COMPUTED_VALUE"""),"7471060808080003")</f>
        <v>7471060808080003</v>
      </c>
      <c r="J436" s="7" t="str">
        <f>IFERROR(__xludf.DUMMYFUNCTION("""COMPUTED_VALUE"""),"LAKI-LAKI")</f>
        <v>LAKI-LAKI</v>
      </c>
      <c r="K436" s="6" t="str">
        <f>IFERROR(__xludf.DUMMYFUNCTION("""COMPUTED_VALUE"""),"Jl. Garuda, Kel. Poasia, Kec. Abeli")</f>
        <v>Jl. Garuda, Kel. Poasia, Kec. Abeli</v>
      </c>
      <c r="N436" s="8" t="s">
        <v>19</v>
      </c>
      <c r="R436" s="7" t="str">
        <f>IFERROR(__xludf.DUMMYFUNCTION("""COMPUTED_VALUE"""),"K")</f>
        <v>K</v>
      </c>
    </row>
    <row r="437" ht="22.5" customHeight="1">
      <c r="A437" s="6">
        <v>436.0</v>
      </c>
      <c r="B437" s="6" t="str">
        <f>IFERROR(__xludf.DUMMYFUNCTION("""COMPUTED_VALUE"""),"Desainer Grafis Muda")</f>
        <v>Desainer Grafis Muda</v>
      </c>
      <c r="C437" s="6" t="str">
        <f>IFERROR(__xludf.DUMMYFUNCTION("""COMPUTED_VALUE"""),"SMK Negeri 4 Kendari")</f>
        <v>SMK Negeri 4 Kendari</v>
      </c>
      <c r="F437" s="6" t="str">
        <f>IFERROR(__xludf.DUMMYFUNCTION("""COMPUTED_VALUE"""),"ALI RIFKI NAZARULLAH")</f>
        <v>ALI RIFKI NAZARULLAH</v>
      </c>
      <c r="G437" s="13" t="str">
        <f>IFERROR(__xludf.DUMMYFUNCTION("""COMPUTED_VALUE"""),"7471042110080001")</f>
        <v>7471042110080001</v>
      </c>
      <c r="J437" s="7" t="str">
        <f>IFERROR(__xludf.DUMMYFUNCTION("""COMPUTED_VALUE"""),"LAKI-LAKI")</f>
        <v>LAKI-LAKI</v>
      </c>
      <c r="K437" s="6" t="str">
        <f>IFERROR(__xludf.DUMMYFUNCTION("""COMPUTED_VALUE"""),"Jl. Kelapa Lrg. Cempedak")</f>
        <v>Jl. Kelapa Lrg. Cempedak</v>
      </c>
      <c r="N437" s="8" t="s">
        <v>19</v>
      </c>
      <c r="R437" s="7" t="str">
        <f>IFERROR(__xludf.DUMMYFUNCTION("""COMPUTED_VALUE"""),"K")</f>
        <v>K</v>
      </c>
    </row>
    <row r="438" ht="22.5" customHeight="1">
      <c r="A438" s="6">
        <v>437.0</v>
      </c>
      <c r="B438" s="6" t="str">
        <f>IFERROR(__xludf.DUMMYFUNCTION("""COMPUTED_VALUE"""),"Desainer Grafis Muda")</f>
        <v>Desainer Grafis Muda</v>
      </c>
      <c r="C438" s="6" t="str">
        <f>IFERROR(__xludf.DUMMYFUNCTION("""COMPUTED_VALUE"""),"SMK Negeri 4 Kendari")</f>
        <v>SMK Negeri 4 Kendari</v>
      </c>
      <c r="F438" s="6" t="str">
        <f>IFERROR(__xludf.DUMMYFUNCTION("""COMPUTED_VALUE"""),"ANDHIKA MUSTIKA BINTANG")</f>
        <v>ANDHIKA MUSTIKA BINTANG</v>
      </c>
      <c r="G438" s="13" t="str">
        <f>IFERROR(__xludf.DUMMYFUNCTION("""COMPUTED_VALUE"""),"7471051303080001")</f>
        <v>7471051303080001</v>
      </c>
      <c r="J438" s="7" t="str">
        <f>IFERROR(__xludf.DUMMYFUNCTION("""COMPUTED_VALUE"""),"LAKI-LAKI")</f>
        <v>LAKI-LAKI</v>
      </c>
      <c r="K438" s="6" t="str">
        <f>IFERROR(__xludf.DUMMYFUNCTION("""COMPUTED_VALUE"""),"Jl. Konawe Abeli")</f>
        <v>Jl. Konawe Abeli</v>
      </c>
      <c r="N438" s="8" t="s">
        <v>19</v>
      </c>
      <c r="R438" s="7" t="str">
        <f>IFERROR(__xludf.DUMMYFUNCTION("""COMPUTED_VALUE"""),"K")</f>
        <v>K</v>
      </c>
    </row>
    <row r="439" ht="22.5" customHeight="1">
      <c r="A439" s="6">
        <v>438.0</v>
      </c>
      <c r="B439" s="6" t="str">
        <f>IFERROR(__xludf.DUMMYFUNCTION("""COMPUTED_VALUE"""),"Desainer Grafis Muda")</f>
        <v>Desainer Grafis Muda</v>
      </c>
      <c r="C439" s="6" t="str">
        <f>IFERROR(__xludf.DUMMYFUNCTION("""COMPUTED_VALUE"""),"SMK Negeri 4 Kendari")</f>
        <v>SMK Negeri 4 Kendari</v>
      </c>
      <c r="F439" s="6" t="str">
        <f>IFERROR(__xludf.DUMMYFUNCTION("""COMPUTED_VALUE"""),"ANDINI NOVALIYANTI")</f>
        <v>ANDINI NOVALIYANTI</v>
      </c>
      <c r="G439" s="13" t="str">
        <f>IFERROR(__xludf.DUMMYFUNCTION("""COMPUTED_VALUE"""),"7471104411880005")</f>
        <v>7471104411880005</v>
      </c>
      <c r="J439" s="7" t="str">
        <f>IFERROR(__xludf.DUMMYFUNCTION("""COMPUTED_VALUE"""),"PEREMPUAN")</f>
        <v>PEREMPUAN</v>
      </c>
      <c r="K439" s="6" t="str">
        <f>IFERROR(__xludf.DUMMYFUNCTION("""COMPUTED_VALUE"""),"BTN Kendari Permai, Blok S4, No. 12")</f>
        <v>BTN Kendari Permai, Blok S4, No. 12</v>
      </c>
      <c r="N439" s="8" t="s">
        <v>19</v>
      </c>
      <c r="R439" s="7" t="str">
        <f>IFERROR(__xludf.DUMMYFUNCTION("""COMPUTED_VALUE"""),"K")</f>
        <v>K</v>
      </c>
    </row>
    <row r="440" ht="22.5" customHeight="1">
      <c r="A440" s="6">
        <v>439.0</v>
      </c>
      <c r="B440" s="6" t="str">
        <f>IFERROR(__xludf.DUMMYFUNCTION("""COMPUTED_VALUE"""),"Desainer Grafis Muda")</f>
        <v>Desainer Grafis Muda</v>
      </c>
      <c r="C440" s="6" t="str">
        <f>IFERROR(__xludf.DUMMYFUNCTION("""COMPUTED_VALUE"""),"SMK Negeri 4 Kendari")</f>
        <v>SMK Negeri 4 Kendari</v>
      </c>
      <c r="F440" s="6" t="str">
        <f>IFERROR(__xludf.DUMMYFUNCTION("""COMPUTED_VALUE"""),"ARIFKI")</f>
        <v>ARIFKI</v>
      </c>
      <c r="G440" s="13" t="str">
        <f>IFERROR(__xludf.DUMMYFUNCTION("""COMPUTED_VALUE"""),"7471042506070002")</f>
        <v>7471042506070002</v>
      </c>
      <c r="J440" s="7" t="str">
        <f>IFERROR(__xludf.DUMMYFUNCTION("""COMPUTED_VALUE"""),"LAKI-LAKI")</f>
        <v>LAKI-LAKI</v>
      </c>
      <c r="K440" s="6" t="str">
        <f>IFERROR(__xludf.DUMMYFUNCTION("""COMPUTED_VALUE"""),"Jl. Madusila, Lorong Pandai Besi")</f>
        <v>Jl. Madusila, Lorong Pandai Besi</v>
      </c>
      <c r="N440" s="8" t="s">
        <v>19</v>
      </c>
      <c r="R440" s="7" t="str">
        <f>IFERROR(__xludf.DUMMYFUNCTION("""COMPUTED_VALUE"""),"BK")</f>
        <v>BK</v>
      </c>
    </row>
    <row r="441" ht="22.5" customHeight="1">
      <c r="A441" s="6">
        <v>440.0</v>
      </c>
      <c r="B441" s="6" t="str">
        <f>IFERROR(__xludf.DUMMYFUNCTION("""COMPUTED_VALUE"""),"Desainer Grafis Muda")</f>
        <v>Desainer Grafis Muda</v>
      </c>
      <c r="C441" s="6" t="str">
        <f>IFERROR(__xludf.DUMMYFUNCTION("""COMPUTED_VALUE"""),"SMK Negeri 4 Kendari")</f>
        <v>SMK Negeri 4 Kendari</v>
      </c>
      <c r="F441" s="6" t="str">
        <f>IFERROR(__xludf.DUMMYFUNCTION("""COMPUTED_VALUE"""),"ARINI SINTIA")</f>
        <v>ARINI SINTIA</v>
      </c>
      <c r="G441" s="13" t="str">
        <f>IFERROR(__xludf.DUMMYFUNCTION("""COMPUTED_VALUE"""),"7471044708070002")</f>
        <v>7471044708070002</v>
      </c>
      <c r="J441" s="7" t="str">
        <f>IFERROR(__xludf.DUMMYFUNCTION("""COMPUTED_VALUE"""),"PEREMPUAN")</f>
        <v>PEREMPUAN</v>
      </c>
      <c r="K441" s="6" t="str">
        <f>IFERROR(__xludf.DUMMYFUNCTION("""COMPUTED_VALUE"""),"Jln.Sabulawu")</f>
        <v>Jln.Sabulawu</v>
      </c>
      <c r="N441" s="8" t="s">
        <v>19</v>
      </c>
      <c r="R441" s="7" t="str">
        <f>IFERROR(__xludf.DUMMYFUNCTION("""COMPUTED_VALUE"""),"K")</f>
        <v>K</v>
      </c>
    </row>
    <row r="442" ht="22.5" customHeight="1">
      <c r="A442" s="6">
        <v>441.0</v>
      </c>
      <c r="B442" s="6" t="str">
        <f>IFERROR(__xludf.DUMMYFUNCTION("""COMPUTED_VALUE"""),"Desainer Grafis Muda")</f>
        <v>Desainer Grafis Muda</v>
      </c>
      <c r="C442" s="6" t="str">
        <f>IFERROR(__xludf.DUMMYFUNCTION("""COMPUTED_VALUE"""),"SMK Negeri 4 Kendari")</f>
        <v>SMK Negeri 4 Kendari</v>
      </c>
      <c r="F442" s="6" t="str">
        <f>IFERROR(__xludf.DUMMYFUNCTION("""COMPUTED_VALUE"""),"ARJUNA")</f>
        <v>ARJUNA</v>
      </c>
      <c r="G442" s="13" t="str">
        <f>IFERROR(__xludf.DUMMYFUNCTION("""COMPUTED_VALUE"""),"7471042203080002")</f>
        <v>7471042203080002</v>
      </c>
      <c r="J442" s="7" t="str">
        <f>IFERROR(__xludf.DUMMYFUNCTION("""COMPUTED_VALUE"""),"LAKI-LAKI")</f>
        <v>LAKI-LAKI</v>
      </c>
      <c r="K442" s="6" t="str">
        <f>IFERROR(__xludf.DUMMYFUNCTION("""COMPUTED_VALUE"""),"Jl. Jambu Mente, Kel. Anggoeya, Kec. Poasia, Kota Kendari ")</f>
        <v>Jl. Jambu Mente, Kel. Anggoeya, Kec. Poasia, Kota Kendari </v>
      </c>
      <c r="N442" s="8" t="s">
        <v>19</v>
      </c>
      <c r="R442" s="7" t="str">
        <f>IFERROR(__xludf.DUMMYFUNCTION("""COMPUTED_VALUE"""),"K")</f>
        <v>K</v>
      </c>
    </row>
    <row r="443" ht="22.5" customHeight="1">
      <c r="A443" s="6">
        <v>442.0</v>
      </c>
      <c r="B443" s="6" t="str">
        <f>IFERROR(__xludf.DUMMYFUNCTION("""COMPUTED_VALUE"""),"Desainer Grafis Muda")</f>
        <v>Desainer Grafis Muda</v>
      </c>
      <c r="C443" s="6" t="str">
        <f>IFERROR(__xludf.DUMMYFUNCTION("""COMPUTED_VALUE"""),"SMK Negeri 4 Kendari")</f>
        <v>SMK Negeri 4 Kendari</v>
      </c>
      <c r="F443" s="6" t="str">
        <f>IFERROR(__xludf.DUMMYFUNCTION("""COMPUTED_VALUE"""),"ASWANDI")</f>
        <v>ASWANDI</v>
      </c>
      <c r="G443" s="13" t="str">
        <f>IFERROR(__xludf.DUMMYFUNCTION("""COMPUTED_VALUE"""),"7317110304080002")</f>
        <v>7317110304080002</v>
      </c>
      <c r="J443" s="7" t="str">
        <f>IFERROR(__xludf.DUMMYFUNCTION("""COMPUTED_VALUE"""),"LAKI-LAKI")</f>
        <v>LAKI-LAKI</v>
      </c>
      <c r="K443" s="6" t="str">
        <f>IFERROR(__xludf.DUMMYFUNCTION("""COMPUTED_VALUE"""),"BTN Green Munando Anggoeya")</f>
        <v>BTN Green Munando Anggoeya</v>
      </c>
      <c r="N443" s="8" t="s">
        <v>19</v>
      </c>
      <c r="R443" s="7" t="str">
        <f>IFERROR(__xludf.DUMMYFUNCTION("""COMPUTED_VALUE"""),"K")</f>
        <v>K</v>
      </c>
    </row>
    <row r="444" ht="22.5" customHeight="1">
      <c r="A444" s="6">
        <v>443.0</v>
      </c>
      <c r="B444" s="6" t="str">
        <f>IFERROR(__xludf.DUMMYFUNCTION("""COMPUTED_VALUE"""),"Desainer Grafis Muda")</f>
        <v>Desainer Grafis Muda</v>
      </c>
      <c r="C444" s="6" t="str">
        <f>IFERROR(__xludf.DUMMYFUNCTION("""COMPUTED_VALUE"""),"SMK Negeri 4 Kendari")</f>
        <v>SMK Negeri 4 Kendari</v>
      </c>
      <c r="F444" s="6" t="str">
        <f>IFERROR(__xludf.DUMMYFUNCTION("""COMPUTED_VALUE"""),"BINTANG AL FAHRI")</f>
        <v>BINTANG AL FAHRI</v>
      </c>
      <c r="G444" s="13" t="str">
        <f>IFERROR(__xludf.DUMMYFUNCTION("""COMPUTED_VALUE"""),"7471061411080001")</f>
        <v>7471061411080001</v>
      </c>
      <c r="J444" s="7" t="str">
        <f>IFERROR(__xludf.DUMMYFUNCTION("""COMPUTED_VALUE"""),"LAKI-LAKI")</f>
        <v>LAKI-LAKI</v>
      </c>
      <c r="K444" s="6" t="str">
        <f>IFERROR(__xludf.DUMMYFUNCTION("""COMPUTED_VALUE"""),"Lt. Konawe Abeli")</f>
        <v>Lt. Konawe Abeli</v>
      </c>
      <c r="N444" s="8" t="s">
        <v>19</v>
      </c>
      <c r="R444" s="7" t="str">
        <f>IFERROR(__xludf.DUMMYFUNCTION("""COMPUTED_VALUE"""),"K")</f>
        <v>K</v>
      </c>
    </row>
    <row r="445" ht="22.5" customHeight="1">
      <c r="A445" s="6">
        <v>444.0</v>
      </c>
      <c r="B445" s="6" t="str">
        <f>IFERROR(__xludf.DUMMYFUNCTION("""COMPUTED_VALUE"""),"Desainer Grafis Muda")</f>
        <v>Desainer Grafis Muda</v>
      </c>
      <c r="C445" s="6" t="str">
        <f>IFERROR(__xludf.DUMMYFUNCTION("""COMPUTED_VALUE"""),"SMK Negeri 4 Kendari")</f>
        <v>SMK Negeri 4 Kendari</v>
      </c>
      <c r="F445" s="6" t="str">
        <f>IFERROR(__xludf.DUMMYFUNCTION("""COMPUTED_VALUE"""),"CAHAYA")</f>
        <v>CAHAYA</v>
      </c>
      <c r="G445" s="13" t="str">
        <f>IFERROR(__xludf.DUMMYFUNCTION("""COMPUTED_VALUE"""),"7471044801080001")</f>
        <v>7471044801080001</v>
      </c>
      <c r="J445" s="7" t="str">
        <f>IFERROR(__xludf.DUMMYFUNCTION("""COMPUTED_VALUE"""),"PEREMPUAN")</f>
        <v>PEREMPUAN</v>
      </c>
      <c r="K445" s="6" t="str">
        <f>IFERROR(__xludf.DUMMYFUNCTION("""COMPUTED_VALUE"""),"Jln Safira Indah")</f>
        <v>Jln Safira Indah</v>
      </c>
      <c r="N445" s="8" t="s">
        <v>19</v>
      </c>
      <c r="R445" s="7" t="str">
        <f>IFERROR(__xludf.DUMMYFUNCTION("""COMPUTED_VALUE"""),"BK")</f>
        <v>BK</v>
      </c>
    </row>
    <row r="446" ht="22.5" customHeight="1">
      <c r="A446" s="6">
        <v>445.0</v>
      </c>
      <c r="B446" s="6" t="str">
        <f>IFERROR(__xludf.DUMMYFUNCTION("""COMPUTED_VALUE"""),"Desainer Grafis Muda")</f>
        <v>Desainer Grafis Muda</v>
      </c>
      <c r="C446" s="6" t="str">
        <f>IFERROR(__xludf.DUMMYFUNCTION("""COMPUTED_VALUE"""),"SMK Negeri 4 Kendari")</f>
        <v>SMK Negeri 4 Kendari</v>
      </c>
      <c r="F446" s="6" t="str">
        <f>IFERROR(__xludf.DUMMYFUNCTION("""COMPUTED_VALUE"""),"DENMA APRIAN SAPUTRA")</f>
        <v>DENMA APRIAN SAPUTRA</v>
      </c>
      <c r="G446" s="13" t="str">
        <f>IFERROR(__xludf.DUMMYFUNCTION("""COMPUTED_VALUE"""),"7471061602070001")</f>
        <v>7471061602070001</v>
      </c>
      <c r="J446" s="7" t="str">
        <f>IFERROR(__xludf.DUMMYFUNCTION("""COMPUTED_VALUE"""),"LAKI-LAKI")</f>
        <v>LAKI-LAKI</v>
      </c>
      <c r="K446" s="6" t="str">
        <f>IFERROR(__xludf.DUMMYFUNCTION("""COMPUTED_VALUE"""),"Jl. Anggalomelai")</f>
        <v>Jl. Anggalomelai</v>
      </c>
      <c r="N446" s="8" t="s">
        <v>19</v>
      </c>
      <c r="R446" s="7" t="str">
        <f>IFERROR(__xludf.DUMMYFUNCTION("""COMPUTED_VALUE"""),"BK")</f>
        <v>BK</v>
      </c>
    </row>
    <row r="447" ht="22.5" customHeight="1">
      <c r="A447" s="6">
        <v>446.0</v>
      </c>
      <c r="B447" s="6" t="str">
        <f>IFERROR(__xludf.DUMMYFUNCTION("""COMPUTED_VALUE"""),"Desainer Grafis Muda")</f>
        <v>Desainer Grafis Muda</v>
      </c>
      <c r="C447" s="6" t="str">
        <f>IFERROR(__xludf.DUMMYFUNCTION("""COMPUTED_VALUE"""),"SMK Negeri 4 Kendari")</f>
        <v>SMK Negeri 4 Kendari</v>
      </c>
      <c r="F447" s="6" t="str">
        <f>IFERROR(__xludf.DUMMYFUNCTION("""COMPUTED_VALUE"""),"FAHMI")</f>
        <v>FAHMI</v>
      </c>
      <c r="G447" s="13" t="str">
        <f>IFERROR(__xludf.DUMMYFUNCTION("""COMPUTED_VALUE"""),"7471060206080002")</f>
        <v>7471060206080002</v>
      </c>
      <c r="J447" s="7" t="str">
        <f>IFERROR(__xludf.DUMMYFUNCTION("""COMPUTED_VALUE"""),"LAKI-LAKI")</f>
        <v>LAKI-LAKI</v>
      </c>
      <c r="K447" s="6" t="str">
        <f>IFERROR(__xludf.DUMMYFUNCTION("""COMPUTED_VALUE"""),"Jl. Konawe, RT.003, RW.002, Desa Benua Nirae, Kec Abeli")</f>
        <v>Jl. Konawe, RT.003, RW.002, Desa Benua Nirae, Kec Abeli</v>
      </c>
      <c r="N447" s="8" t="s">
        <v>19</v>
      </c>
      <c r="R447" s="7" t="str">
        <f>IFERROR(__xludf.DUMMYFUNCTION("""COMPUTED_VALUE"""),"K")</f>
        <v>K</v>
      </c>
    </row>
    <row r="448" ht="22.5" customHeight="1">
      <c r="A448" s="6">
        <v>447.0</v>
      </c>
      <c r="B448" s="6" t="str">
        <f>IFERROR(__xludf.DUMMYFUNCTION("""COMPUTED_VALUE"""),"Desainer Grafis Muda")</f>
        <v>Desainer Grafis Muda</v>
      </c>
      <c r="C448" s="6" t="str">
        <f>IFERROR(__xludf.DUMMYFUNCTION("""COMPUTED_VALUE"""),"SMK Negeri 4 Kendari")</f>
        <v>SMK Negeri 4 Kendari</v>
      </c>
      <c r="F448" s="6" t="str">
        <f>IFERROR(__xludf.DUMMYFUNCTION("""COMPUTED_VALUE"""),"FARID FAUZAN")</f>
        <v>FARID FAUZAN</v>
      </c>
      <c r="G448" s="13" t="str">
        <f>IFERROR(__xludf.DUMMYFUNCTION("""COMPUTED_VALUE"""),"7471062411080002")</f>
        <v>7471062411080002</v>
      </c>
      <c r="J448" s="7" t="str">
        <f>IFERROR(__xludf.DUMMYFUNCTION("""COMPUTED_VALUE"""),"LAKI-LAKI")</f>
        <v>LAKI-LAKI</v>
      </c>
      <c r="K448" s="6" t="str">
        <f>IFERROR(__xludf.DUMMYFUNCTION("""COMPUTED_VALUE"""),"Kec. Abeli, Kel. Talia, Lorong Fajar Mulia")</f>
        <v>Kec. Abeli, Kel. Talia, Lorong Fajar Mulia</v>
      </c>
      <c r="N448" s="8" t="s">
        <v>19</v>
      </c>
      <c r="R448" s="7" t="str">
        <f>IFERROR(__xludf.DUMMYFUNCTION("""COMPUTED_VALUE"""),"K")</f>
        <v>K</v>
      </c>
    </row>
    <row r="449" ht="22.5" customHeight="1">
      <c r="A449" s="6">
        <v>448.0</v>
      </c>
      <c r="B449" s="6" t="str">
        <f>IFERROR(__xludf.DUMMYFUNCTION("""COMPUTED_VALUE"""),"Desainer Grafis Muda")</f>
        <v>Desainer Grafis Muda</v>
      </c>
      <c r="C449" s="6" t="str">
        <f>IFERROR(__xludf.DUMMYFUNCTION("""COMPUTED_VALUE"""),"SMK Negeri 4 Kendari")</f>
        <v>SMK Negeri 4 Kendari</v>
      </c>
      <c r="F449" s="6" t="str">
        <f>IFERROR(__xludf.DUMMYFUNCTION("""COMPUTED_VALUE"""),"FARIS")</f>
        <v>FARIS</v>
      </c>
      <c r="G449" s="13" t="str">
        <f>IFERROR(__xludf.DUMMYFUNCTION("""COMPUTED_VALUE"""),"7471041201080002")</f>
        <v>7471041201080002</v>
      </c>
      <c r="J449" s="7" t="str">
        <f>IFERROR(__xludf.DUMMYFUNCTION("""COMPUTED_VALUE"""),"LAKI-LAKI")</f>
        <v>LAKI-LAKI</v>
      </c>
      <c r="K449" s="6" t="str">
        <f>IFERROR(__xludf.DUMMYFUNCTION("""COMPUTED_VALUE"""),"Jl. Jambu Mente")</f>
        <v>Jl. Jambu Mente</v>
      </c>
      <c r="N449" s="8" t="s">
        <v>19</v>
      </c>
      <c r="R449" s="7" t="str">
        <f>IFERROR(__xludf.DUMMYFUNCTION("""COMPUTED_VALUE"""),"K")</f>
        <v>K</v>
      </c>
    </row>
    <row r="450" ht="22.5" customHeight="1">
      <c r="A450" s="6">
        <v>449.0</v>
      </c>
      <c r="B450" s="6" t="str">
        <f>IFERROR(__xludf.DUMMYFUNCTION("""COMPUTED_VALUE"""),"Desainer Grafis Muda")</f>
        <v>Desainer Grafis Muda</v>
      </c>
      <c r="C450" s="6" t="str">
        <f>IFERROR(__xludf.DUMMYFUNCTION("""COMPUTED_VALUE"""),"SMK Negeri 4 Kendari")</f>
        <v>SMK Negeri 4 Kendari</v>
      </c>
      <c r="F450" s="6" t="str">
        <f>IFERROR(__xludf.DUMMYFUNCTION("""COMPUTED_VALUE"""),"FATHAN MUBARAQ TAOHA")</f>
        <v>FATHAN MUBARAQ TAOHA</v>
      </c>
      <c r="G450" s="13" t="str">
        <f>IFERROR(__xludf.DUMMYFUNCTION("""COMPUTED_VALUE"""),"7471060111080001")</f>
        <v>7471060111080001</v>
      </c>
      <c r="J450" s="7" t="str">
        <f>IFERROR(__xludf.DUMMYFUNCTION("""COMPUTED_VALUE"""),"LAKI-LAKI")</f>
        <v>LAKI-LAKI</v>
      </c>
      <c r="K450" s="6" t="str">
        <f>IFERROR(__xludf.DUMMYFUNCTION("""COMPUTED_VALUE"""),"JL. Wedanu No 6")</f>
        <v>JL. Wedanu No 6</v>
      </c>
      <c r="N450" s="8" t="s">
        <v>19</v>
      </c>
      <c r="R450" s="7" t="str">
        <f>IFERROR(__xludf.DUMMYFUNCTION("""COMPUTED_VALUE"""),"K")</f>
        <v>K</v>
      </c>
    </row>
    <row r="451" ht="22.5" customHeight="1">
      <c r="A451" s="6">
        <v>450.0</v>
      </c>
      <c r="B451" s="6" t="str">
        <f>IFERROR(__xludf.DUMMYFUNCTION("""COMPUTED_VALUE"""),"Desainer Grafis Muda")</f>
        <v>Desainer Grafis Muda</v>
      </c>
      <c r="C451" s="6" t="str">
        <f>IFERROR(__xludf.DUMMYFUNCTION("""COMPUTED_VALUE"""),"SMK Negeri 4 Kendari")</f>
        <v>SMK Negeri 4 Kendari</v>
      </c>
      <c r="F451" s="6" t="str">
        <f>IFERROR(__xludf.DUMMYFUNCTION("""COMPUTED_VALUE"""),"FEBRIANSYAH")</f>
        <v>FEBRIANSYAH</v>
      </c>
      <c r="G451" s="13" t="str">
        <f>IFERROR(__xludf.DUMMYFUNCTION("""COMPUTED_VALUE"""),"7471061802090001")</f>
        <v>7471061802090001</v>
      </c>
      <c r="J451" s="7" t="str">
        <f>IFERROR(__xludf.DUMMYFUNCTION("""COMPUTED_VALUE"""),"LAKI-LAKI")</f>
        <v>LAKI-LAKI</v>
      </c>
      <c r="K451" s="6" t="str">
        <f>IFERROR(__xludf.DUMMYFUNCTION("""COMPUTED_VALUE"""),"Lrg. Masjid Fajar Mulia")</f>
        <v>Lrg. Masjid Fajar Mulia</v>
      </c>
      <c r="N451" s="8" t="s">
        <v>19</v>
      </c>
      <c r="R451" s="7" t="str">
        <f>IFERROR(__xludf.DUMMYFUNCTION("""COMPUTED_VALUE"""),"BK")</f>
        <v>BK</v>
      </c>
    </row>
    <row r="452" ht="22.5" customHeight="1">
      <c r="A452" s="6">
        <v>451.0</v>
      </c>
      <c r="B452" s="6" t="str">
        <f>IFERROR(__xludf.DUMMYFUNCTION("""COMPUTED_VALUE"""),"Desainer Grafis Muda")</f>
        <v>Desainer Grafis Muda</v>
      </c>
      <c r="C452" s="6" t="str">
        <f>IFERROR(__xludf.DUMMYFUNCTION("""COMPUTED_VALUE"""),"SMK Negeri 4 Kendari")</f>
        <v>SMK Negeri 4 Kendari</v>
      </c>
      <c r="F452" s="6" t="str">
        <f>IFERROR(__xludf.DUMMYFUNCTION("""COMPUTED_VALUE"""),"Fidhan Fatah Adzkia")</f>
        <v>Fidhan Fatah Adzkia</v>
      </c>
      <c r="G452" s="13" t="str">
        <f>IFERROR(__xludf.DUMMYFUNCTION("""COMPUTED_VALUE"""),"7471042807080002")</f>
        <v>7471042807080002</v>
      </c>
      <c r="J452" s="7" t="str">
        <f>IFERROR(__xludf.DUMMYFUNCTION("""COMPUTED_VALUE"""),"LAKI-LAKI")</f>
        <v>LAKI-LAKI</v>
      </c>
      <c r="K452" s="6" t="str">
        <f>IFERROR(__xludf.DUMMYFUNCTION("""COMPUTED_VALUE"""),"Jl. Perjuangan, Kel. Mokoau, Kel. Kambu")</f>
        <v>Jl. Perjuangan, Kel. Mokoau, Kel. Kambu</v>
      </c>
      <c r="N452" s="8" t="s">
        <v>19</v>
      </c>
      <c r="R452" s="7" t="str">
        <f>IFERROR(__xludf.DUMMYFUNCTION("""COMPUTED_VALUE"""),"K")</f>
        <v>K</v>
      </c>
    </row>
    <row r="453" ht="22.5" customHeight="1">
      <c r="A453" s="6">
        <v>452.0</v>
      </c>
      <c r="B453" s="6" t="str">
        <f>IFERROR(__xludf.DUMMYFUNCTION("""COMPUTED_VALUE"""),"Desainer Grafis Muda")</f>
        <v>Desainer Grafis Muda</v>
      </c>
      <c r="C453" s="6" t="str">
        <f>IFERROR(__xludf.DUMMYFUNCTION("""COMPUTED_VALUE"""),"SMK Negeri 4 Kendari")</f>
        <v>SMK Negeri 4 Kendari</v>
      </c>
      <c r="F453" s="6" t="str">
        <f>IFERROR(__xludf.DUMMYFUNCTION("""COMPUTED_VALUE"""),"FIDIA RISQI RAMADHANI")</f>
        <v>FIDIA RISQI RAMADHANI</v>
      </c>
      <c r="G453" s="13" t="str">
        <f>IFERROR(__xludf.DUMMYFUNCTION("""COMPUTED_VALUE"""),"7471044904080001")</f>
        <v>7471044904080001</v>
      </c>
      <c r="J453" s="7" t="str">
        <f>IFERROR(__xludf.DUMMYFUNCTION("""COMPUTED_VALUE"""),"PEREMPUAN")</f>
        <v>PEREMPUAN</v>
      </c>
      <c r="K453" s="6" t="str">
        <f>IFERROR(__xludf.DUMMYFUNCTION("""COMPUTED_VALUE"""),"Jl. Dermaga Anggoeya")</f>
        <v>Jl. Dermaga Anggoeya</v>
      </c>
      <c r="N453" s="8" t="s">
        <v>19</v>
      </c>
      <c r="R453" s="7" t="str">
        <f>IFERROR(__xludf.DUMMYFUNCTION("""COMPUTED_VALUE"""),"K")</f>
        <v>K</v>
      </c>
    </row>
    <row r="454" ht="22.5" customHeight="1">
      <c r="A454" s="6">
        <v>453.0</v>
      </c>
      <c r="B454" s="6" t="str">
        <f>IFERROR(__xludf.DUMMYFUNCTION("""COMPUTED_VALUE"""),"Desainer Grafis Muda")</f>
        <v>Desainer Grafis Muda</v>
      </c>
      <c r="C454" s="6" t="str">
        <f>IFERROR(__xludf.DUMMYFUNCTION("""COMPUTED_VALUE"""),"SMK Negeri 4 Kendari")</f>
        <v>SMK Negeri 4 Kendari</v>
      </c>
      <c r="F454" s="6" t="str">
        <f>IFERROR(__xludf.DUMMYFUNCTION("""COMPUTED_VALUE"""),"FITRA ANDRIANI")</f>
        <v>FITRA ANDRIANI</v>
      </c>
      <c r="G454" s="13" t="str">
        <f>IFERROR(__xludf.DUMMYFUNCTION("""COMPUTED_VALUE"""),"7471044509070001")</f>
        <v>7471044509070001</v>
      </c>
      <c r="J454" s="7" t="str">
        <f>IFERROR(__xludf.DUMMYFUNCTION("""COMPUTED_VALUE"""),"PEREMPUAN")</f>
        <v>PEREMPUAN</v>
      </c>
      <c r="K454" s="6" t="str">
        <f>IFERROR(__xludf.DUMMYFUNCTION("""COMPUTED_VALUE"""),"Jl. Banawula Sinapoy")</f>
        <v>Jl. Banawula Sinapoy</v>
      </c>
      <c r="N454" s="8" t="s">
        <v>19</v>
      </c>
      <c r="R454" s="7" t="str">
        <f>IFERROR(__xludf.DUMMYFUNCTION("""COMPUTED_VALUE"""),"K")</f>
        <v>K</v>
      </c>
    </row>
    <row r="455" ht="22.5" customHeight="1">
      <c r="A455" s="6">
        <v>454.0</v>
      </c>
      <c r="B455" s="6" t="str">
        <f>IFERROR(__xludf.DUMMYFUNCTION("""COMPUTED_VALUE"""),"Desainer Grafis Muda")</f>
        <v>Desainer Grafis Muda</v>
      </c>
      <c r="C455" s="6" t="str">
        <f>IFERROR(__xludf.DUMMYFUNCTION("""COMPUTED_VALUE"""),"SMK Negeri 4 Kendari")</f>
        <v>SMK Negeri 4 Kendari</v>
      </c>
      <c r="F455" s="6" t="str">
        <f>IFERROR(__xludf.DUMMYFUNCTION("""COMPUTED_VALUE"""),"HABIB ABDURRAHMAN")</f>
        <v>HABIB ABDURRAHMAN</v>
      </c>
      <c r="G455" s="13" t="str">
        <f>IFERROR(__xludf.DUMMYFUNCTION("""COMPUTED_VALUE"""),"7471101511080001")</f>
        <v>7471101511080001</v>
      </c>
      <c r="J455" s="7" t="str">
        <f>IFERROR(__xludf.DUMMYFUNCTION("""COMPUTED_VALUE"""),"LAKI-LAKI")</f>
        <v>LAKI-LAKI</v>
      </c>
      <c r="K455" s="6" t="str">
        <f>IFERROR(__xludf.DUMMYFUNCTION("""COMPUTED_VALUE"""),"Jl. Pisang No. 44")</f>
        <v>Jl. Pisang No. 44</v>
      </c>
      <c r="N455" s="8" t="s">
        <v>19</v>
      </c>
      <c r="R455" s="7" t="str">
        <f>IFERROR(__xludf.DUMMYFUNCTION("""COMPUTED_VALUE"""),"BK")</f>
        <v>BK</v>
      </c>
    </row>
    <row r="456" ht="22.5" customHeight="1">
      <c r="A456" s="6">
        <v>455.0</v>
      </c>
      <c r="B456" s="6" t="str">
        <f>IFERROR(__xludf.DUMMYFUNCTION("""COMPUTED_VALUE"""),"Desainer Grafis Muda")</f>
        <v>Desainer Grafis Muda</v>
      </c>
      <c r="C456" s="6" t="str">
        <f>IFERROR(__xludf.DUMMYFUNCTION("""COMPUTED_VALUE"""),"SMK Negeri 4 Kendari")</f>
        <v>SMK Negeri 4 Kendari</v>
      </c>
      <c r="F456" s="6" t="str">
        <f>IFERROR(__xludf.DUMMYFUNCTION("""COMPUTED_VALUE"""),"HAIKAL")</f>
        <v>HAIKAL</v>
      </c>
      <c r="G456" s="13" t="str">
        <f>IFERROR(__xludf.DUMMYFUNCTION("""COMPUTED_VALUE"""),"7471061203080003")</f>
        <v>7471061203080003</v>
      </c>
      <c r="J456" s="7" t="str">
        <f>IFERROR(__xludf.DUMMYFUNCTION("""COMPUTED_VALUE"""),"LAKI-LAKI")</f>
        <v>LAKI-LAKI</v>
      </c>
      <c r="K456" s="6" t="str">
        <f>IFERROR(__xludf.DUMMYFUNCTION("""COMPUTED_VALUE"""),"Tobimeita")</f>
        <v>Tobimeita</v>
      </c>
      <c r="N456" s="8" t="s">
        <v>19</v>
      </c>
      <c r="R456" s="7" t="str">
        <f>IFERROR(__xludf.DUMMYFUNCTION("""COMPUTED_VALUE"""),"BK")</f>
        <v>BK</v>
      </c>
    </row>
    <row r="457" ht="22.5" customHeight="1">
      <c r="A457" s="6">
        <v>456.0</v>
      </c>
      <c r="B457" s="6" t="str">
        <f>IFERROR(__xludf.DUMMYFUNCTION("""COMPUTED_VALUE"""),"Desainer Grafis Muda")</f>
        <v>Desainer Grafis Muda</v>
      </c>
      <c r="C457" s="6" t="str">
        <f>IFERROR(__xludf.DUMMYFUNCTION("""COMPUTED_VALUE"""),"SMK Negeri 4 Kendari")</f>
        <v>SMK Negeri 4 Kendari</v>
      </c>
      <c r="F457" s="6" t="str">
        <f>IFERROR(__xludf.DUMMYFUNCTION("""COMPUTED_VALUE"""),"Herlan Febriawan")</f>
        <v>Herlan Febriawan</v>
      </c>
      <c r="G457" s="13" t="str">
        <f>IFERROR(__xludf.DUMMYFUNCTION("""COMPUTED_VALUE"""),"7405111702080001")</f>
        <v>7405111702080001</v>
      </c>
      <c r="J457" s="7" t="str">
        <f>IFERROR(__xludf.DUMMYFUNCTION("""COMPUTED_VALUE"""),"LAKI-LAKI")</f>
        <v>LAKI-LAKI</v>
      </c>
      <c r="K457" s="6" t="str">
        <f>IFERROR(__xludf.DUMMYFUNCTION("""COMPUTED_VALUE"""),"BTN Bumi Praja Residence")</f>
        <v>BTN Bumi Praja Residence</v>
      </c>
      <c r="N457" s="8" t="s">
        <v>19</v>
      </c>
      <c r="R457" s="7" t="str">
        <f>IFERROR(__xludf.DUMMYFUNCTION("""COMPUTED_VALUE"""),"K")</f>
        <v>K</v>
      </c>
    </row>
    <row r="458" ht="22.5" customHeight="1">
      <c r="A458" s="6">
        <v>457.0</v>
      </c>
      <c r="B458" s="6" t="str">
        <f>IFERROR(__xludf.DUMMYFUNCTION("""COMPUTED_VALUE"""),"Desainer Grafis Muda")</f>
        <v>Desainer Grafis Muda</v>
      </c>
      <c r="C458" s="6" t="str">
        <f>IFERROR(__xludf.DUMMYFUNCTION("""COMPUTED_VALUE"""),"SMK Negeri 4 Kendari")</f>
        <v>SMK Negeri 4 Kendari</v>
      </c>
      <c r="F458" s="6" t="str">
        <f>IFERROR(__xludf.DUMMYFUNCTION("""COMPUTED_VALUE"""),"HERMANSYAH")</f>
        <v>HERMANSYAH</v>
      </c>
      <c r="G458" s="13" t="str">
        <f>IFERROR(__xludf.DUMMYFUNCTION("""COMPUTED_VALUE"""),"7402100508080004")</f>
        <v>7402100508080004</v>
      </c>
      <c r="J458" s="7" t="str">
        <f>IFERROR(__xludf.DUMMYFUNCTION("""COMPUTED_VALUE"""),"LAKI-LAKI")</f>
        <v>LAKI-LAKI</v>
      </c>
      <c r="K458" s="6" t="str">
        <f>IFERROR(__xludf.DUMMYFUNCTION("""COMPUTED_VALUE"""),"Jln. Pisang, RT/RW 006/003 Kec. Abeli")</f>
        <v>Jln. Pisang, RT/RW 006/003 Kec. Abeli</v>
      </c>
      <c r="N458" s="8" t="s">
        <v>19</v>
      </c>
      <c r="R458" s="7" t="str">
        <f>IFERROR(__xludf.DUMMYFUNCTION("""COMPUTED_VALUE"""),"BK")</f>
        <v>BK</v>
      </c>
    </row>
    <row r="459" ht="22.5" customHeight="1">
      <c r="A459" s="6">
        <v>458.0</v>
      </c>
      <c r="B459" s="6" t="str">
        <f>IFERROR(__xludf.DUMMYFUNCTION("""COMPUTED_VALUE"""),"Desainer Grafis Muda")</f>
        <v>Desainer Grafis Muda</v>
      </c>
      <c r="C459" s="6" t="str">
        <f>IFERROR(__xludf.DUMMYFUNCTION("""COMPUTED_VALUE"""),"SMK Negeri 4 Kendari")</f>
        <v>SMK Negeri 4 Kendari</v>
      </c>
      <c r="F459" s="6" t="str">
        <f>IFERROR(__xludf.DUMMYFUNCTION("""COMPUTED_VALUE"""),"ICA")</f>
        <v>ICA</v>
      </c>
      <c r="G459" s="13" t="str">
        <f>IFERROR(__xludf.DUMMYFUNCTION("""COMPUTED_VALUE"""),"7471064107070001")</f>
        <v>7471064107070001</v>
      </c>
      <c r="J459" s="7" t="str">
        <f>IFERROR(__xludf.DUMMYFUNCTION("""COMPUTED_VALUE"""),"PEREMPUAN")</f>
        <v>PEREMPUAN</v>
      </c>
      <c r="K459" s="6" t="str">
        <f>IFERROR(__xludf.DUMMYFUNCTION("""COMPUTED_VALUE"""),"Jl. Balai Kelurahan")</f>
        <v>Jl. Balai Kelurahan</v>
      </c>
      <c r="N459" s="8" t="s">
        <v>19</v>
      </c>
      <c r="R459" s="7" t="str">
        <f>IFERROR(__xludf.DUMMYFUNCTION("""COMPUTED_VALUE"""),"K")</f>
        <v>K</v>
      </c>
    </row>
    <row r="460" ht="22.5" customHeight="1">
      <c r="A460" s="6">
        <v>459.0</v>
      </c>
      <c r="B460" s="6" t="str">
        <f>IFERROR(__xludf.DUMMYFUNCTION("""COMPUTED_VALUE"""),"Desainer Grafis Muda")</f>
        <v>Desainer Grafis Muda</v>
      </c>
      <c r="C460" s="6" t="str">
        <f>IFERROR(__xludf.DUMMYFUNCTION("""COMPUTED_VALUE"""),"SMK Negeri 4 Kendari")</f>
        <v>SMK Negeri 4 Kendari</v>
      </c>
      <c r="F460" s="6" t="str">
        <f>IFERROR(__xludf.DUMMYFUNCTION("""COMPUTED_VALUE"""),"IHWAN AYATULLAH")</f>
        <v>IHWAN AYATULLAH</v>
      </c>
      <c r="G460" s="13" t="str">
        <f>IFERROR(__xludf.DUMMYFUNCTION("""COMPUTED_VALUE"""),"7471101112070002")</f>
        <v>7471101112070002</v>
      </c>
      <c r="J460" s="7" t="str">
        <f>IFERROR(__xludf.DUMMYFUNCTION("""COMPUTED_VALUE"""),"LAKI-LAKI")</f>
        <v>LAKI-LAKI</v>
      </c>
      <c r="K460" s="6" t="str">
        <f>IFERROR(__xludf.DUMMYFUNCTION("""COMPUTED_VALUE"""),"Jl. M.T Haryono, Lrg. Nipa Raya II")</f>
        <v>Jl. M.T Haryono, Lrg. Nipa Raya II</v>
      </c>
      <c r="N460" s="8" t="s">
        <v>19</v>
      </c>
      <c r="R460" s="7" t="str">
        <f>IFERROR(__xludf.DUMMYFUNCTION("""COMPUTED_VALUE"""),"K")</f>
        <v>K</v>
      </c>
    </row>
    <row r="461" ht="22.5" customHeight="1">
      <c r="A461" s="6">
        <v>460.0</v>
      </c>
      <c r="B461" s="6" t="str">
        <f>IFERROR(__xludf.DUMMYFUNCTION("""COMPUTED_VALUE"""),"Desainer Grafis Muda")</f>
        <v>Desainer Grafis Muda</v>
      </c>
      <c r="C461" s="6" t="str">
        <f>IFERROR(__xludf.DUMMYFUNCTION("""COMPUTED_VALUE"""),"SMK Negeri 4 Kendari")</f>
        <v>SMK Negeri 4 Kendari</v>
      </c>
      <c r="F461" s="6" t="str">
        <f>IFERROR(__xludf.DUMMYFUNCTION("""COMPUTED_VALUE"""),"ILMAN SYAPUTRA")</f>
        <v>ILMAN SYAPUTRA</v>
      </c>
      <c r="G461" s="13" t="str">
        <f>IFERROR(__xludf.DUMMYFUNCTION("""COMPUTED_VALUE"""),"7471040107080001")</f>
        <v>7471040107080001</v>
      </c>
      <c r="J461" s="7" t="str">
        <f>IFERROR(__xludf.DUMMYFUNCTION("""COMPUTED_VALUE"""),"LAKI-LAKI")</f>
        <v>LAKI-LAKI</v>
      </c>
      <c r="K461" s="6" t="str">
        <f>IFERROR(__xludf.DUMMYFUNCTION("""COMPUTED_VALUE"""),"Jl. Sakulawu")</f>
        <v>Jl. Sakulawu</v>
      </c>
      <c r="N461" s="8" t="s">
        <v>19</v>
      </c>
      <c r="R461" s="7" t="str">
        <f>IFERROR(__xludf.DUMMYFUNCTION("""COMPUTED_VALUE"""),"BK")</f>
        <v>BK</v>
      </c>
    </row>
    <row r="462" ht="22.5" customHeight="1">
      <c r="A462" s="6">
        <v>461.0</v>
      </c>
      <c r="B462" s="6" t="str">
        <f>IFERROR(__xludf.DUMMYFUNCTION("""COMPUTED_VALUE"""),"Desainer Grafis Muda")</f>
        <v>Desainer Grafis Muda</v>
      </c>
      <c r="C462" s="6" t="str">
        <f>IFERROR(__xludf.DUMMYFUNCTION("""COMPUTED_VALUE"""),"SMK Negeri 4 Kendari")</f>
        <v>SMK Negeri 4 Kendari</v>
      </c>
      <c r="F462" s="6" t="str">
        <f>IFERROR(__xludf.DUMMYFUNCTION("""COMPUTED_VALUE"""),"KHANZA RAHMAYANTI")</f>
        <v>KHANZA RAHMAYANTI</v>
      </c>
      <c r="G462" s="13" t="str">
        <f>IFERROR(__xludf.DUMMYFUNCTION("""COMPUTED_VALUE"""),"7471104803090002")</f>
        <v>7471104803090002</v>
      </c>
      <c r="J462" s="7" t="str">
        <f>IFERROR(__xludf.DUMMYFUNCTION("""COMPUTED_VALUE"""),"PEREMPUAN")</f>
        <v>PEREMPUAN</v>
      </c>
      <c r="K462" s="6" t="str">
        <f>IFERROR(__xludf.DUMMYFUNCTION("""COMPUTED_VALUE"""),"Jl. Orinunggu")</f>
        <v>Jl. Orinunggu</v>
      </c>
      <c r="N462" s="8" t="s">
        <v>19</v>
      </c>
      <c r="R462" s="7" t="str">
        <f>IFERROR(__xludf.DUMMYFUNCTION("""COMPUTED_VALUE"""),"K")</f>
        <v>K</v>
      </c>
    </row>
    <row r="463" ht="22.5" customHeight="1">
      <c r="A463" s="6">
        <v>462.0</v>
      </c>
      <c r="B463" s="6" t="str">
        <f>IFERROR(__xludf.DUMMYFUNCTION("""COMPUTED_VALUE"""),"Desainer Grafis Muda")</f>
        <v>Desainer Grafis Muda</v>
      </c>
      <c r="C463" s="6" t="str">
        <f>IFERROR(__xludf.DUMMYFUNCTION("""COMPUTED_VALUE"""),"SMK Negeri 4 Kendari")</f>
        <v>SMK Negeri 4 Kendari</v>
      </c>
      <c r="F463" s="6" t="str">
        <f>IFERROR(__xludf.DUMMYFUNCTION("""COMPUTED_VALUE"""),"MUH. ALFARIQ HAFIZH RUSLAN")</f>
        <v>MUH. ALFARIQ HAFIZH RUSLAN</v>
      </c>
      <c r="G463" s="13" t="str">
        <f>IFERROR(__xludf.DUMMYFUNCTION("""COMPUTED_VALUE"""),"7471041512080001")</f>
        <v>7471041512080001</v>
      </c>
      <c r="J463" s="7" t="str">
        <f>IFERROR(__xludf.DUMMYFUNCTION("""COMPUTED_VALUE"""),"LAKI-LAKI")</f>
        <v>LAKI-LAKI</v>
      </c>
      <c r="K463" s="6" t="str">
        <f>IFERROR(__xludf.DUMMYFUNCTION("""COMPUTED_VALUE"""),"Poasia Jl. Matabubu")</f>
        <v>Poasia Jl. Matabubu</v>
      </c>
      <c r="N463" s="8" t="s">
        <v>19</v>
      </c>
      <c r="R463" s="7" t="str">
        <f>IFERROR(__xludf.DUMMYFUNCTION("""COMPUTED_VALUE"""),"BK")</f>
        <v>BK</v>
      </c>
    </row>
    <row r="464" ht="22.5" customHeight="1">
      <c r="A464" s="6">
        <v>463.0</v>
      </c>
      <c r="B464" s="6" t="str">
        <f>IFERROR(__xludf.DUMMYFUNCTION("""COMPUTED_VALUE"""),"Desainer Grafis Muda")</f>
        <v>Desainer Grafis Muda</v>
      </c>
      <c r="C464" s="6" t="str">
        <f>IFERROR(__xludf.DUMMYFUNCTION("""COMPUTED_VALUE"""),"SMK Negeri 4 Kendari")</f>
        <v>SMK Negeri 4 Kendari</v>
      </c>
      <c r="F464" s="6" t="str">
        <f>IFERROR(__xludf.DUMMYFUNCTION("""COMPUTED_VALUE"""),"Muh. Aqsha")</f>
        <v>Muh. Aqsha</v>
      </c>
      <c r="G464" s="13" t="str">
        <f>IFERROR(__xludf.DUMMYFUNCTION("""COMPUTED_VALUE"""),"7471060910080001")</f>
        <v>7471060910080001</v>
      </c>
      <c r="J464" s="7" t="str">
        <f>IFERROR(__xludf.DUMMYFUNCTION("""COMPUTED_VALUE"""),"LAKI-LAKI")</f>
        <v>LAKI-LAKI</v>
      </c>
      <c r="K464" s="6" t="str">
        <f>IFERROR(__xludf.DUMMYFUNCTION("""COMPUTED_VALUE"""),"Jl. Dermaga, Lapulu")</f>
        <v>Jl. Dermaga, Lapulu</v>
      </c>
      <c r="N464" s="8" t="s">
        <v>19</v>
      </c>
      <c r="R464" s="7" t="str">
        <f>IFERROR(__xludf.DUMMYFUNCTION("""COMPUTED_VALUE"""),"K")</f>
        <v>K</v>
      </c>
    </row>
    <row r="465" ht="22.5" customHeight="1">
      <c r="A465" s="6">
        <v>464.0</v>
      </c>
      <c r="B465" s="6" t="str">
        <f>IFERROR(__xludf.DUMMYFUNCTION("""COMPUTED_VALUE"""),"Desainer Grafis Muda")</f>
        <v>Desainer Grafis Muda</v>
      </c>
      <c r="C465" s="6" t="str">
        <f>IFERROR(__xludf.DUMMYFUNCTION("""COMPUTED_VALUE"""),"SMK Negeri 4 Kendari")</f>
        <v>SMK Negeri 4 Kendari</v>
      </c>
      <c r="F465" s="6" t="str">
        <f>IFERROR(__xludf.DUMMYFUNCTION("""COMPUTED_VALUE"""),"MUHAMMAD IHSANUL AMAL")</f>
        <v>MUHAMMAD IHSANUL AMAL</v>
      </c>
      <c r="G465" s="13" t="str">
        <f>IFERROR(__xludf.DUMMYFUNCTION("""COMPUTED_VALUE"""),"7471091711080001")</f>
        <v>7471091711080001</v>
      </c>
      <c r="J465" s="7" t="str">
        <f>IFERROR(__xludf.DUMMYFUNCTION("""COMPUTED_VALUE"""),"LAKI-LAKI")</f>
        <v>LAKI-LAKI</v>
      </c>
      <c r="K465" s="6" t="str">
        <f>IFERROR(__xludf.DUMMYFUNCTION("""COMPUTED_VALUE"""),"Perumahan BTN Bonggoeya Graha Asi A.8")</f>
        <v>Perumahan BTN Bonggoeya Graha Asi A.8</v>
      </c>
      <c r="N465" s="8" t="s">
        <v>19</v>
      </c>
      <c r="R465" s="7" t="str">
        <f>IFERROR(__xludf.DUMMYFUNCTION("""COMPUTED_VALUE"""),"K")</f>
        <v>K</v>
      </c>
    </row>
    <row r="466" ht="22.5" customHeight="1">
      <c r="A466" s="6">
        <v>465.0</v>
      </c>
      <c r="B466" s="6" t="str">
        <f>IFERROR(__xludf.DUMMYFUNCTION("""COMPUTED_VALUE"""),"Desainer Grafis Muda")</f>
        <v>Desainer Grafis Muda</v>
      </c>
      <c r="C466" s="6" t="str">
        <f>IFERROR(__xludf.DUMMYFUNCTION("""COMPUTED_VALUE"""),"SMK Negeri 4 Kendari")</f>
        <v>SMK Negeri 4 Kendari</v>
      </c>
      <c r="F466" s="6" t="str">
        <f>IFERROR(__xludf.DUMMYFUNCTION("""COMPUTED_VALUE"""),"MUH. RIZKIQA JOKO")</f>
        <v>MUH. RIZKIQA JOKO</v>
      </c>
      <c r="G466" s="13" t="str">
        <f>IFERROR(__xludf.DUMMYFUNCTION("""COMPUTED_VALUE"""),"7471102604080001")</f>
        <v>7471102604080001</v>
      </c>
      <c r="J466" s="7" t="str">
        <f>IFERROR(__xludf.DUMMYFUNCTION("""COMPUTED_VALUE"""),"LAKI-LAKI")</f>
        <v>LAKI-LAKI</v>
      </c>
      <c r="K466" s="6" t="str">
        <f>IFERROR(__xludf.DUMMYFUNCTION("""COMPUTED_VALUE"""),"Kompleks BTN Kendari Permai")</f>
        <v>Kompleks BTN Kendari Permai</v>
      </c>
      <c r="N466" s="8" t="s">
        <v>19</v>
      </c>
      <c r="R466" s="7" t="str">
        <f>IFERROR(__xludf.DUMMYFUNCTION("""COMPUTED_VALUE"""),"K")</f>
        <v>K</v>
      </c>
    </row>
    <row r="467" ht="22.5" customHeight="1">
      <c r="A467" s="6">
        <v>466.0</v>
      </c>
      <c r="B467" s="6" t="str">
        <f>IFERROR(__xludf.DUMMYFUNCTION("""COMPUTED_VALUE"""),"Desainer Grafis Muda")</f>
        <v>Desainer Grafis Muda</v>
      </c>
      <c r="C467" s="6" t="str">
        <f>IFERROR(__xludf.DUMMYFUNCTION("""COMPUTED_VALUE"""),"SMK Negeri 4 Kendari")</f>
        <v>SMK Negeri 4 Kendari</v>
      </c>
      <c r="F467" s="6" t="str">
        <f>IFERROR(__xludf.DUMMYFUNCTION("""COMPUTED_VALUE"""),"MUHAMMAD ALAM")</f>
        <v>MUHAMMAD ALAM</v>
      </c>
      <c r="G467" s="13" t="str">
        <f>IFERROR(__xludf.DUMMYFUNCTION("""COMPUTED_VALUE"""),"7471060905080002")</f>
        <v>7471060905080002</v>
      </c>
      <c r="J467" s="7" t="str">
        <f>IFERROR(__xludf.DUMMYFUNCTION("""COMPUTED_VALUE"""),"LAKI-LAKI")</f>
        <v>LAKI-LAKI</v>
      </c>
      <c r="K467" s="6" t="str">
        <f>IFERROR(__xludf.DUMMYFUNCTION("""COMPUTED_VALUE"""),"Jln. Abeli, Kel. Anggalomelai, Kec. Nambo")</f>
        <v>Jln. Abeli, Kel. Anggalomelai, Kec. Nambo</v>
      </c>
      <c r="N467" s="8" t="s">
        <v>19</v>
      </c>
      <c r="R467" s="7" t="str">
        <f>IFERROR(__xludf.DUMMYFUNCTION("""COMPUTED_VALUE"""),"K")</f>
        <v>K</v>
      </c>
    </row>
    <row r="468" ht="22.5" customHeight="1">
      <c r="A468" s="6">
        <v>467.0</v>
      </c>
      <c r="B468" s="6" t="str">
        <f>IFERROR(__xludf.DUMMYFUNCTION("""COMPUTED_VALUE"""),"Desainer Grafis Muda")</f>
        <v>Desainer Grafis Muda</v>
      </c>
      <c r="C468" s="6" t="str">
        <f>IFERROR(__xludf.DUMMYFUNCTION("""COMPUTED_VALUE"""),"SMK Negeri 4 Kendari")</f>
        <v>SMK Negeri 4 Kendari</v>
      </c>
      <c r="F468" s="6" t="str">
        <f>IFERROR(__xludf.DUMMYFUNCTION("""COMPUTED_VALUE"""),"Muhammad Arga")</f>
        <v>Muhammad Arga</v>
      </c>
      <c r="G468" s="13" t="str">
        <f>IFERROR(__xludf.DUMMYFUNCTION("""COMPUTED_VALUE"""),"7405061001080001")</f>
        <v>7405061001080001</v>
      </c>
      <c r="J468" s="7" t="str">
        <f>IFERROR(__xludf.DUMMYFUNCTION("""COMPUTED_VALUE"""),"LAKI-LAKI")</f>
        <v>LAKI-LAKI</v>
      </c>
      <c r="K468" s="6"/>
      <c r="N468" s="8" t="s">
        <v>19</v>
      </c>
      <c r="R468" s="7" t="str">
        <f>IFERROR(__xludf.DUMMYFUNCTION("""COMPUTED_VALUE"""),"BK")</f>
        <v>BK</v>
      </c>
    </row>
    <row r="469" ht="22.5" customHeight="1">
      <c r="A469" s="6">
        <v>468.0</v>
      </c>
      <c r="B469" s="6" t="str">
        <f>IFERROR(__xludf.DUMMYFUNCTION("""COMPUTED_VALUE"""),"Desainer Grafis Muda")</f>
        <v>Desainer Grafis Muda</v>
      </c>
      <c r="C469" s="6" t="str">
        <f>IFERROR(__xludf.DUMMYFUNCTION("""COMPUTED_VALUE"""),"SMK Negeri 4 Kendari")</f>
        <v>SMK Negeri 4 Kendari</v>
      </c>
      <c r="F469" s="6" t="str">
        <f>IFERROR(__xludf.DUMMYFUNCTION("""COMPUTED_VALUE"""),"MUH. ILHAM AKBAR ENDRE")</f>
        <v>MUH. ILHAM AKBAR ENDRE</v>
      </c>
      <c r="G469" s="13" t="str">
        <f>IFERROR(__xludf.DUMMYFUNCTION("""COMPUTED_VALUE"""),"7471060402090001")</f>
        <v>7471060402090001</v>
      </c>
      <c r="J469" s="7" t="str">
        <f>IFERROR(__xludf.DUMMYFUNCTION("""COMPUTED_VALUE"""),"LAKI-LAKI")</f>
        <v>LAKI-LAKI</v>
      </c>
      <c r="K469" s="6" t="str">
        <f>IFERROR(__xludf.DUMMYFUNCTION("""COMPUTED_VALUE"""),"-")</f>
        <v>-</v>
      </c>
      <c r="N469" s="8" t="s">
        <v>19</v>
      </c>
      <c r="R469" s="7" t="str">
        <f>IFERROR(__xludf.DUMMYFUNCTION("""COMPUTED_VALUE"""),"K")</f>
        <v>K</v>
      </c>
    </row>
    <row r="470" ht="22.5" customHeight="1">
      <c r="A470" s="6">
        <v>469.0</v>
      </c>
      <c r="B470" s="6" t="str">
        <f>IFERROR(__xludf.DUMMYFUNCTION("""COMPUTED_VALUE"""),"Desainer Grafis Muda")</f>
        <v>Desainer Grafis Muda</v>
      </c>
      <c r="C470" s="6" t="str">
        <f>IFERROR(__xludf.DUMMYFUNCTION("""COMPUTED_VALUE"""),"SMK Negeri 4 Kendari")</f>
        <v>SMK Negeri 4 Kendari</v>
      </c>
      <c r="F470" s="6" t="str">
        <f>IFERROR(__xludf.DUMMYFUNCTION("""COMPUTED_VALUE"""),"Muh. Ismail")</f>
        <v>Muh. Ismail</v>
      </c>
      <c r="G470" s="13" t="str">
        <f>IFERROR(__xludf.DUMMYFUNCTION("""COMPUTED_VALUE"""),"7471062304060001")</f>
        <v>7471062304060001</v>
      </c>
      <c r="J470" s="7" t="str">
        <f>IFERROR(__xludf.DUMMYFUNCTION("""COMPUTED_VALUE"""),"LAKI-LAKI")</f>
        <v>LAKI-LAKI</v>
      </c>
      <c r="K470" s="6"/>
      <c r="N470" s="8" t="s">
        <v>19</v>
      </c>
      <c r="R470" s="7" t="str">
        <f>IFERROR(__xludf.DUMMYFUNCTION("""COMPUTED_VALUE"""),"BK")</f>
        <v>BK</v>
      </c>
    </row>
    <row r="471" ht="22.5" customHeight="1">
      <c r="A471" s="6">
        <v>470.0</v>
      </c>
      <c r="B471" s="6" t="str">
        <f>IFERROR(__xludf.DUMMYFUNCTION("""COMPUTED_VALUE"""),"Desainer Grafis Muda")</f>
        <v>Desainer Grafis Muda</v>
      </c>
      <c r="C471" s="6" t="str">
        <f>IFERROR(__xludf.DUMMYFUNCTION("""COMPUTED_VALUE"""),"SMK Negeri 4 Kendari")</f>
        <v>SMK Negeri 4 Kendari</v>
      </c>
      <c r="F471" s="6" t="str">
        <f>IFERROR(__xludf.DUMMYFUNCTION("""COMPUTED_VALUE"""),"MUH. NIZAR SYAPUTRA")</f>
        <v>MUH. NIZAR SYAPUTRA</v>
      </c>
      <c r="G471" s="13" t="str">
        <f>IFERROR(__xludf.DUMMYFUNCTION("""COMPUTED_VALUE"""),"7471062509080001")</f>
        <v>7471062509080001</v>
      </c>
      <c r="J471" s="7" t="str">
        <f>IFERROR(__xludf.DUMMYFUNCTION("""COMPUTED_VALUE"""),"LAKI-LAKI")</f>
        <v>LAKI-LAKI</v>
      </c>
      <c r="K471" s="6" t="str">
        <f>IFERROR(__xludf.DUMMYFUNCTION("""COMPUTED_VALUE"""),"Abeli/Teras Tuju")</f>
        <v>Abeli/Teras Tuju</v>
      </c>
      <c r="N471" s="8" t="s">
        <v>19</v>
      </c>
      <c r="R471" s="7" t="str">
        <f>IFERROR(__xludf.DUMMYFUNCTION("""COMPUTED_VALUE"""),"K")</f>
        <v>K</v>
      </c>
    </row>
    <row r="472" ht="22.5" customHeight="1">
      <c r="A472" s="6">
        <v>471.0</v>
      </c>
      <c r="B472" s="6" t="str">
        <f>IFERROR(__xludf.DUMMYFUNCTION("""COMPUTED_VALUE"""),"Desainer Grafis Muda")</f>
        <v>Desainer Grafis Muda</v>
      </c>
      <c r="C472" s="6" t="str">
        <f>IFERROR(__xludf.DUMMYFUNCTION("""COMPUTED_VALUE"""),"SMK Negeri 4 Kendari")</f>
        <v>SMK Negeri 4 Kendari</v>
      </c>
      <c r="F472" s="6" t="str">
        <f>IFERROR(__xludf.DUMMYFUNCTION("""COMPUTED_VALUE"""),"MUH. ULUL AL AZMIN")</f>
        <v>MUH. ULUL AL AZMIN</v>
      </c>
      <c r="G472" s="13" t="str">
        <f>IFERROR(__xludf.DUMMYFUNCTION("""COMPUTED_VALUE"""),"7403255001030001")</f>
        <v>7403255001030001</v>
      </c>
      <c r="J472" s="7" t="str">
        <f>IFERROR(__xludf.DUMMYFUNCTION("""COMPUTED_VALUE"""),"PEREMPUAN")</f>
        <v>PEREMPUAN</v>
      </c>
      <c r="K472" s="6"/>
      <c r="N472" s="8" t="s">
        <v>19</v>
      </c>
      <c r="R472" s="7" t="str">
        <f>IFERROR(__xludf.DUMMYFUNCTION("""COMPUTED_VALUE"""),"K")</f>
        <v>K</v>
      </c>
    </row>
    <row r="473" ht="22.5" customHeight="1">
      <c r="A473" s="6">
        <v>472.0</v>
      </c>
      <c r="B473" s="6" t="str">
        <f>IFERROR(__xludf.DUMMYFUNCTION("""COMPUTED_VALUE"""),"Desainer Grafis Muda")</f>
        <v>Desainer Grafis Muda</v>
      </c>
      <c r="C473" s="6" t="str">
        <f>IFERROR(__xludf.DUMMYFUNCTION("""COMPUTED_VALUE"""),"SMK Negeri 4 Kendari")</f>
        <v>SMK Negeri 4 Kendari</v>
      </c>
      <c r="F473" s="6" t="str">
        <f>IFERROR(__xludf.DUMMYFUNCTION("""COMPUTED_VALUE"""),"Mutmainnah")</f>
        <v>Mutmainnah</v>
      </c>
      <c r="G473" s="13" t="str">
        <f>IFERROR(__xludf.DUMMYFUNCTION("""COMPUTED_VALUE"""),"7405156706070001")</f>
        <v>7405156706070001</v>
      </c>
      <c r="J473" s="7" t="str">
        <f>IFERROR(__xludf.DUMMYFUNCTION("""COMPUTED_VALUE"""),"PEREMPUAN")</f>
        <v>PEREMPUAN</v>
      </c>
      <c r="K473" s="6" t="str">
        <f>IFERROR(__xludf.DUMMYFUNCTION("""COMPUTED_VALUE"""),"BTN Mutiara Gemilang Blok D6")</f>
        <v>BTN Mutiara Gemilang Blok D6</v>
      </c>
      <c r="N473" s="8" t="s">
        <v>19</v>
      </c>
      <c r="R473" s="7" t="str">
        <f>IFERROR(__xludf.DUMMYFUNCTION("""COMPUTED_VALUE"""),"K")</f>
        <v>K</v>
      </c>
    </row>
    <row r="474" ht="22.5" customHeight="1">
      <c r="A474" s="6">
        <v>473.0</v>
      </c>
      <c r="B474" s="6" t="str">
        <f>IFERROR(__xludf.DUMMYFUNCTION("""COMPUTED_VALUE"""),"Desainer Grafis Muda")</f>
        <v>Desainer Grafis Muda</v>
      </c>
      <c r="C474" s="6" t="str">
        <f>IFERROR(__xludf.DUMMYFUNCTION("""COMPUTED_VALUE"""),"SMK Negeri 4 Kendari")</f>
        <v>SMK Negeri 4 Kendari</v>
      </c>
      <c r="F474" s="6" t="str">
        <f>IFERROR(__xludf.DUMMYFUNCTION("""COMPUTED_VALUE"""),"NABIL")</f>
        <v>NABIL</v>
      </c>
      <c r="G474" s="13" t="str">
        <f>IFERROR(__xludf.DUMMYFUNCTION("""COMPUTED_VALUE"""),"7471060105070003")</f>
        <v>7471060105070003</v>
      </c>
      <c r="J474" s="7" t="str">
        <f>IFERROR(__xludf.DUMMYFUNCTION("""COMPUTED_VALUE"""),"LAKI-LAKI")</f>
        <v>LAKI-LAKI</v>
      </c>
      <c r="K474" s="6" t="str">
        <f>IFERROR(__xludf.DUMMYFUNCTION("""COMPUTED_VALUE"""),"Anggalo Melai Kec. Abeli")</f>
        <v>Anggalo Melai Kec. Abeli</v>
      </c>
      <c r="N474" s="8" t="s">
        <v>19</v>
      </c>
      <c r="R474" s="7" t="str">
        <f>IFERROR(__xludf.DUMMYFUNCTION("""COMPUTED_VALUE"""),"K")</f>
        <v>K</v>
      </c>
    </row>
    <row r="475" ht="22.5" customHeight="1">
      <c r="A475" s="6">
        <v>474.0</v>
      </c>
      <c r="B475" s="6" t="str">
        <f>IFERROR(__xludf.DUMMYFUNCTION("""COMPUTED_VALUE"""),"Desainer Grafis Muda")</f>
        <v>Desainer Grafis Muda</v>
      </c>
      <c r="C475" s="6" t="str">
        <f>IFERROR(__xludf.DUMMYFUNCTION("""COMPUTED_VALUE"""),"SMK Negeri 4 Kendari")</f>
        <v>SMK Negeri 4 Kendari</v>
      </c>
      <c r="F475" s="6" t="str">
        <f>IFERROR(__xludf.DUMMYFUNCTION("""COMPUTED_VALUE"""),"Najma Zalithea")</f>
        <v>Najma Zalithea</v>
      </c>
      <c r="G475" s="13" t="str">
        <f>IFERROR(__xludf.DUMMYFUNCTION("""COMPUTED_VALUE"""),"7471104712070002")</f>
        <v>7471104712070002</v>
      </c>
      <c r="J475" s="7" t="str">
        <f>IFERROR(__xludf.DUMMYFUNCTION("""COMPUTED_VALUE"""),"PEREMPUAN")</f>
        <v>PEREMPUAN</v>
      </c>
      <c r="K475" s="6" t="str">
        <f>IFERROR(__xludf.DUMMYFUNCTION("""COMPUTED_VALUE"""),"BTN Unhalu Blok W No 3")</f>
        <v>BTN Unhalu Blok W No 3</v>
      </c>
      <c r="N475" s="8" t="s">
        <v>19</v>
      </c>
      <c r="R475" s="7" t="str">
        <f>IFERROR(__xludf.DUMMYFUNCTION("""COMPUTED_VALUE"""),"K")</f>
        <v>K</v>
      </c>
    </row>
    <row r="476" ht="22.5" customHeight="1">
      <c r="A476" s="6">
        <v>475.0</v>
      </c>
      <c r="B476" s="6" t="str">
        <f>IFERROR(__xludf.DUMMYFUNCTION("""COMPUTED_VALUE"""),"Desainer Grafis Muda")</f>
        <v>Desainer Grafis Muda</v>
      </c>
      <c r="C476" s="6" t="str">
        <f>IFERROR(__xludf.DUMMYFUNCTION("""COMPUTED_VALUE"""),"SMK Negeri 4 Kendari")</f>
        <v>SMK Negeri 4 Kendari</v>
      </c>
      <c r="F476" s="6" t="str">
        <f>IFERROR(__xludf.DUMMYFUNCTION("""COMPUTED_VALUE"""),"NUR AISYA")</f>
        <v>NUR AISYA</v>
      </c>
      <c r="G476" s="13" t="str">
        <f>IFERROR(__xludf.DUMMYFUNCTION("""COMPUTED_VALUE"""),"7411054202090001")</f>
        <v>7411054202090001</v>
      </c>
      <c r="J476" s="7" t="str">
        <f>IFERROR(__xludf.DUMMYFUNCTION("""COMPUTED_VALUE"""),"PEREMPUAN")</f>
        <v>PEREMPUAN</v>
      </c>
      <c r="K476" s="6" t="str">
        <f>IFERROR(__xludf.DUMMYFUNCTION("""COMPUTED_VALUE"""),"Jl. Bunggasi, Anduonohu, Poasia")</f>
        <v>Jl. Bunggasi, Anduonohu, Poasia</v>
      </c>
      <c r="N476" s="8" t="s">
        <v>19</v>
      </c>
      <c r="R476" s="7" t="str">
        <f>IFERROR(__xludf.DUMMYFUNCTION("""COMPUTED_VALUE"""),"K")</f>
        <v>K</v>
      </c>
    </row>
    <row r="477" ht="22.5" customHeight="1">
      <c r="A477" s="6">
        <v>476.0</v>
      </c>
      <c r="B477" s="6" t="str">
        <f>IFERROR(__xludf.DUMMYFUNCTION("""COMPUTED_VALUE"""),"Desainer Grafis Muda")</f>
        <v>Desainer Grafis Muda</v>
      </c>
      <c r="C477" s="6" t="str">
        <f>IFERROR(__xludf.DUMMYFUNCTION("""COMPUTED_VALUE"""),"SMK Negeri 4 Kendari")</f>
        <v>SMK Negeri 4 Kendari</v>
      </c>
      <c r="F477" s="6" t="str">
        <f>IFERROR(__xludf.DUMMYFUNCTION("""COMPUTED_VALUE"""),"NURLAELA")</f>
        <v>NURLAELA</v>
      </c>
      <c r="G477" s="13" t="str">
        <f>IFERROR(__xludf.DUMMYFUNCTION("""COMPUTED_VALUE"""),"7405165709080001")</f>
        <v>7405165709080001</v>
      </c>
      <c r="J477" s="7" t="str">
        <f>IFERROR(__xludf.DUMMYFUNCTION("""COMPUTED_VALUE"""),"PEREMPUAN")</f>
        <v>PEREMPUAN</v>
      </c>
      <c r="K477" s="6" t="str">
        <f>IFERROR(__xludf.DUMMYFUNCTION("""COMPUTED_VALUE"""),"Perumnas Poasia, Blok. C, No. 279")</f>
        <v>Perumnas Poasia, Blok. C, No. 279</v>
      </c>
      <c r="N477" s="8" t="s">
        <v>19</v>
      </c>
      <c r="R477" s="7" t="str">
        <f>IFERROR(__xludf.DUMMYFUNCTION("""COMPUTED_VALUE"""),"K")</f>
        <v>K</v>
      </c>
    </row>
    <row r="478" ht="22.5" customHeight="1">
      <c r="A478" s="6">
        <v>477.0</v>
      </c>
      <c r="B478" s="6" t="str">
        <f>IFERROR(__xludf.DUMMYFUNCTION("""COMPUTED_VALUE"""),"Desainer Grafis Muda")</f>
        <v>Desainer Grafis Muda</v>
      </c>
      <c r="C478" s="6" t="str">
        <f>IFERROR(__xludf.DUMMYFUNCTION("""COMPUTED_VALUE"""),"SMK Negeri 4 Kendari")</f>
        <v>SMK Negeri 4 Kendari</v>
      </c>
      <c r="F478" s="6" t="str">
        <f>IFERROR(__xludf.DUMMYFUNCTION("""COMPUTED_VALUE"""),"NURUL FADILLAH")</f>
        <v>NURUL FADILLAH</v>
      </c>
      <c r="G478" s="13" t="str">
        <f>IFERROR(__xludf.DUMMYFUNCTION("""COMPUTED_VALUE"""),"7412055310100001")</f>
        <v>7412055310100001</v>
      </c>
      <c r="J478" s="7" t="str">
        <f>IFERROR(__xludf.DUMMYFUNCTION("""COMPUTED_VALUE"""),"PEREMPUAN")</f>
        <v>PEREMPUAN</v>
      </c>
      <c r="K478" s="6" t="str">
        <f>IFERROR(__xludf.DUMMYFUNCTION("""COMPUTED_VALUE"""),"Roko-Roko, Kab. Konawe Kepulauan")</f>
        <v>Roko-Roko, Kab. Konawe Kepulauan</v>
      </c>
      <c r="N478" s="8" t="s">
        <v>19</v>
      </c>
      <c r="R478" s="7" t="str">
        <f>IFERROR(__xludf.DUMMYFUNCTION("""COMPUTED_VALUE"""),"K")</f>
        <v>K</v>
      </c>
    </row>
    <row r="479" ht="22.5" customHeight="1">
      <c r="A479" s="6">
        <v>478.0</v>
      </c>
      <c r="B479" s="6" t="str">
        <f>IFERROR(__xludf.DUMMYFUNCTION("""COMPUTED_VALUE"""),"Desainer Grafis Muda")</f>
        <v>Desainer Grafis Muda</v>
      </c>
      <c r="C479" s="6" t="str">
        <f>IFERROR(__xludf.DUMMYFUNCTION("""COMPUTED_VALUE"""),"SMK Negeri 4 Kendari")</f>
        <v>SMK Negeri 4 Kendari</v>
      </c>
      <c r="F479" s="6" t="str">
        <f>IFERROR(__xludf.DUMMYFUNCTION("""COMPUTED_VALUE"""),"PUTRI KEYSIA")</f>
        <v>PUTRI KEYSIA</v>
      </c>
      <c r="G479" s="13" t="str">
        <f>IFERROR(__xludf.DUMMYFUNCTION("""COMPUTED_VALUE"""),"7471045111070001")</f>
        <v>7471045111070001</v>
      </c>
      <c r="J479" s="7" t="str">
        <f>IFERROR(__xludf.DUMMYFUNCTION("""COMPUTED_VALUE"""),"PEREMPUAN")</f>
        <v>PEREMPUAN</v>
      </c>
      <c r="K479" s="6" t="str">
        <f>IFERROR(__xludf.DUMMYFUNCTION("""COMPUTED_VALUE"""),"Jln. Wua-eha")</f>
        <v>Jln. Wua-eha</v>
      </c>
      <c r="N479" s="8" t="s">
        <v>19</v>
      </c>
      <c r="R479" s="7" t="str">
        <f>IFERROR(__xludf.DUMMYFUNCTION("""COMPUTED_VALUE"""),"K")</f>
        <v>K</v>
      </c>
    </row>
    <row r="480" ht="22.5" customHeight="1">
      <c r="A480" s="6">
        <v>479.0</v>
      </c>
      <c r="B480" s="6" t="str">
        <f>IFERROR(__xludf.DUMMYFUNCTION("""COMPUTED_VALUE"""),"Desainer Grafis Muda")</f>
        <v>Desainer Grafis Muda</v>
      </c>
      <c r="C480" s="6" t="str">
        <f>IFERROR(__xludf.DUMMYFUNCTION("""COMPUTED_VALUE"""),"SMK Negeri 4 Kendari")</f>
        <v>SMK Negeri 4 Kendari</v>
      </c>
      <c r="F480" s="6" t="str">
        <f>IFERROR(__xludf.DUMMYFUNCTION("""COMPUTED_VALUE"""),"REVA MULYASARI")</f>
        <v>REVA MULYASARI</v>
      </c>
      <c r="G480" s="13" t="str">
        <f>IFERROR(__xludf.DUMMYFUNCTION("""COMPUTED_VALUE"""),"7405035312070001")</f>
        <v>7405035312070001</v>
      </c>
      <c r="J480" s="7" t="str">
        <f>IFERROR(__xludf.DUMMYFUNCTION("""COMPUTED_VALUE"""),"PEREMPUAN")</f>
        <v>PEREMPUAN</v>
      </c>
      <c r="K480" s="6" t="str">
        <f>IFERROR(__xludf.DUMMYFUNCTION("""COMPUTED_VALUE"""),"BTN Villa Mutiara Boulevard")</f>
        <v>BTN Villa Mutiara Boulevard</v>
      </c>
      <c r="N480" s="8" t="s">
        <v>19</v>
      </c>
      <c r="R480" s="7" t="str">
        <f>IFERROR(__xludf.DUMMYFUNCTION("""COMPUTED_VALUE"""),"K")</f>
        <v>K</v>
      </c>
    </row>
    <row r="481" ht="22.5" customHeight="1">
      <c r="A481" s="6">
        <v>480.0</v>
      </c>
      <c r="B481" s="6" t="str">
        <f>IFERROR(__xludf.DUMMYFUNCTION("""COMPUTED_VALUE"""),"Desainer Grafis Muda")</f>
        <v>Desainer Grafis Muda</v>
      </c>
      <c r="C481" s="6" t="str">
        <f>IFERROR(__xludf.DUMMYFUNCTION("""COMPUTED_VALUE"""),"SMK Negeri 4 Kendari")</f>
        <v>SMK Negeri 4 Kendari</v>
      </c>
      <c r="F481" s="6" t="str">
        <f>IFERROR(__xludf.DUMMYFUNCTION("""COMPUTED_VALUE"""),"SAPRILIANTO")</f>
        <v>SAPRILIANTO</v>
      </c>
      <c r="G481" s="13" t="str">
        <f>IFERROR(__xludf.DUMMYFUNCTION("""COMPUTED_VALUE"""),"7471060804080002")</f>
        <v>7471060804080002</v>
      </c>
      <c r="J481" s="7" t="str">
        <f>IFERROR(__xludf.DUMMYFUNCTION("""COMPUTED_VALUE"""),"LAKI-LAKI")</f>
        <v>LAKI-LAKI</v>
      </c>
      <c r="K481" s="6" t="str">
        <f>IFERROR(__xludf.DUMMYFUNCTION("""COMPUTED_VALUE"""),"Jl. Malio, Kel. Petoaha, Kec. Nambo")</f>
        <v>Jl. Malio, Kel. Petoaha, Kec. Nambo</v>
      </c>
      <c r="N481" s="8" t="s">
        <v>19</v>
      </c>
      <c r="R481" s="7" t="str">
        <f>IFERROR(__xludf.DUMMYFUNCTION("""COMPUTED_VALUE"""),"K")</f>
        <v>K</v>
      </c>
    </row>
    <row r="482" ht="22.5" customHeight="1">
      <c r="A482" s="6">
        <v>481.0</v>
      </c>
      <c r="B482" s="6" t="str">
        <f>IFERROR(__xludf.DUMMYFUNCTION("""COMPUTED_VALUE"""),"Desainer Grafis Muda")</f>
        <v>Desainer Grafis Muda</v>
      </c>
      <c r="C482" s="6" t="str">
        <f>IFERROR(__xludf.DUMMYFUNCTION("""COMPUTED_VALUE"""),"SMK Negeri 4 Kendari")</f>
        <v>SMK Negeri 4 Kendari</v>
      </c>
      <c r="F482" s="6" t="str">
        <f>IFERROR(__xludf.DUMMYFUNCTION("""COMPUTED_VALUE"""),"SARTIKA")</f>
        <v>SARTIKA</v>
      </c>
      <c r="G482" s="13">
        <f>IFERROR(__xludf.DUMMYFUNCTION("""COMPUTED_VALUE"""),7.47104690407E15)</f>
        <v>7.47105E+15</v>
      </c>
      <c r="J482" s="7" t="str">
        <f>IFERROR(__xludf.DUMMYFUNCTION("""COMPUTED_VALUE"""),"PEREMPUAN")</f>
        <v>PEREMPUAN</v>
      </c>
      <c r="K482" s="6" t="str">
        <f>IFERROR(__xludf.DUMMYFUNCTION("""COMPUTED_VALUE"""),"Jalan Kancil")</f>
        <v>Jalan Kancil</v>
      </c>
      <c r="N482" s="8" t="s">
        <v>19</v>
      </c>
      <c r="R482" s="7" t="str">
        <f>IFERROR(__xludf.DUMMYFUNCTION("""COMPUTED_VALUE"""),"K")</f>
        <v>K</v>
      </c>
    </row>
    <row r="483" ht="22.5" customHeight="1">
      <c r="A483" s="6">
        <v>482.0</v>
      </c>
      <c r="B483" s="6" t="str">
        <f>IFERROR(__xludf.DUMMYFUNCTION("""COMPUTED_VALUE"""),"Desainer Grafis Muda")</f>
        <v>Desainer Grafis Muda</v>
      </c>
      <c r="C483" s="6" t="str">
        <f>IFERROR(__xludf.DUMMYFUNCTION("""COMPUTED_VALUE"""),"SMK Negeri 4 Kendari")</f>
        <v>SMK Negeri 4 Kendari</v>
      </c>
      <c r="F483" s="6" t="str">
        <f>IFERROR(__xludf.DUMMYFUNCTION("""COMPUTED_VALUE"""),"SUARDI")</f>
        <v>SUARDI</v>
      </c>
      <c r="G483" s="13" t="str">
        <f>IFERROR(__xludf.DUMMYFUNCTION("""COMPUTED_VALUE"""),"7471052506030001")</f>
        <v>7471052506030001</v>
      </c>
      <c r="J483" s="7" t="str">
        <f>IFERROR(__xludf.DUMMYFUNCTION("""COMPUTED_VALUE"""),"LAKI-LAKI")</f>
        <v>LAKI-LAKI</v>
      </c>
      <c r="K483" s="6" t="str">
        <f>IFERROR(__xludf.DUMMYFUNCTION("""COMPUTED_VALUE"""),"Jl. Badak Kampung Bugis")</f>
        <v>Jl. Badak Kampung Bugis</v>
      </c>
      <c r="N483" s="8" t="s">
        <v>19</v>
      </c>
      <c r="R483" s="7" t="str">
        <f>IFERROR(__xludf.DUMMYFUNCTION("""COMPUTED_VALUE"""),"K")</f>
        <v>K</v>
      </c>
    </row>
    <row r="484" ht="22.5" customHeight="1">
      <c r="A484" s="6">
        <v>483.0</v>
      </c>
      <c r="B484" s="6" t="str">
        <f>IFERROR(__xludf.DUMMYFUNCTION("""COMPUTED_VALUE"""),"Desainer Grafis Muda")</f>
        <v>Desainer Grafis Muda</v>
      </c>
      <c r="C484" s="6" t="str">
        <f>IFERROR(__xludf.DUMMYFUNCTION("""COMPUTED_VALUE"""),"SMK Negeri 4 Kendari")</f>
        <v>SMK Negeri 4 Kendari</v>
      </c>
      <c r="F484" s="6" t="str">
        <f>IFERROR(__xludf.DUMMYFUNCTION("""COMPUTED_VALUE"""),"Syahrul Saputra")</f>
        <v>Syahrul Saputra</v>
      </c>
      <c r="G484" s="13" t="str">
        <f>IFERROR(__xludf.DUMMYFUNCTION("""COMPUTED_VALUE"""),"7471062903080001")</f>
        <v>7471062903080001</v>
      </c>
      <c r="J484" s="7" t="str">
        <f>IFERROR(__xludf.DUMMYFUNCTION("""COMPUTED_VALUE"""),"LAKI-LAKI")</f>
        <v>LAKI-LAKI</v>
      </c>
      <c r="K484" s="6" t="str">
        <f>IFERROR(__xludf.DUMMYFUNCTION("""COMPUTED_VALUE"""),"Jl. Beringin")</f>
        <v>Jl. Beringin</v>
      </c>
      <c r="N484" s="8" t="s">
        <v>19</v>
      </c>
      <c r="R484" s="7" t="str">
        <f>IFERROR(__xludf.DUMMYFUNCTION("""COMPUTED_VALUE"""),"K")</f>
        <v>K</v>
      </c>
    </row>
    <row r="485" ht="22.5" customHeight="1">
      <c r="A485" s="6">
        <v>484.0</v>
      </c>
      <c r="B485" s="6" t="str">
        <f>IFERROR(__xludf.DUMMYFUNCTION("""COMPUTED_VALUE"""),"Desainer Grafis Muda")</f>
        <v>Desainer Grafis Muda</v>
      </c>
      <c r="C485" s="6" t="str">
        <f>IFERROR(__xludf.DUMMYFUNCTION("""COMPUTED_VALUE"""),"SMK Negeri 4 Kendari")</f>
        <v>SMK Negeri 4 Kendari</v>
      </c>
      <c r="F485" s="6" t="str">
        <f>IFERROR(__xludf.DUMMYFUNCTION("""COMPUTED_VALUE"""),"Thalita Mahya Novilia")</f>
        <v>Thalita Mahya Novilia</v>
      </c>
      <c r="G485" s="13" t="str">
        <f>IFERROR(__xludf.DUMMYFUNCTION("""COMPUTED_VALUE"""),"7405114311080001")</f>
        <v>7405114311080001</v>
      </c>
      <c r="J485" s="7" t="str">
        <f>IFERROR(__xludf.DUMMYFUNCTION("""COMPUTED_VALUE"""),"PEREMPUAN")</f>
        <v>PEREMPUAN</v>
      </c>
      <c r="K485" s="6" t="str">
        <f>IFERROR(__xludf.DUMMYFUNCTION("""COMPUTED_VALUE"""),"Jl. Kijang, Prumas Poasia")</f>
        <v>Jl. Kijang, Prumas Poasia</v>
      </c>
      <c r="N485" s="8" t="s">
        <v>19</v>
      </c>
      <c r="R485" s="7" t="str">
        <f>IFERROR(__xludf.DUMMYFUNCTION("""COMPUTED_VALUE"""),"K")</f>
        <v>K</v>
      </c>
    </row>
    <row r="486" ht="22.5" customHeight="1">
      <c r="A486" s="6">
        <v>485.0</v>
      </c>
      <c r="B486" s="6" t="str">
        <f>IFERROR(__xludf.DUMMYFUNCTION("""COMPUTED_VALUE"""),"Desainer Grafis Muda")</f>
        <v>Desainer Grafis Muda</v>
      </c>
      <c r="C486" s="6" t="str">
        <f>IFERROR(__xludf.DUMMYFUNCTION("""COMPUTED_VALUE"""),"SMK Negeri 4 Kendari")</f>
        <v>SMK Negeri 4 Kendari</v>
      </c>
      <c r="F486" s="6" t="str">
        <f>IFERROR(__xludf.DUMMYFUNCTION("""COMPUTED_VALUE"""),"UCI RAHMADANI SUARDI")</f>
        <v>UCI RAHMADANI SUARDI</v>
      </c>
      <c r="G486" s="13" t="str">
        <f>IFERROR(__xludf.DUMMYFUNCTION("""COMPUTED_VALUE"""),"7471064906080003")</f>
        <v>7471064906080003</v>
      </c>
      <c r="J486" s="7" t="str">
        <f>IFERROR(__xludf.DUMMYFUNCTION("""COMPUTED_VALUE"""),"PEREMPUAN")</f>
        <v>PEREMPUAN</v>
      </c>
      <c r="K486" s="6" t="str">
        <f>IFERROR(__xludf.DUMMYFUNCTION("""COMPUTED_VALUE"""),"Kelurahan Anggalomelai")</f>
        <v>Kelurahan Anggalomelai</v>
      </c>
      <c r="N486" s="8" t="s">
        <v>19</v>
      </c>
      <c r="R486" s="7" t="str">
        <f>IFERROR(__xludf.DUMMYFUNCTION("""COMPUTED_VALUE"""),"K")</f>
        <v>K</v>
      </c>
    </row>
    <row r="487" ht="22.5" customHeight="1">
      <c r="A487" s="6">
        <v>486.0</v>
      </c>
      <c r="B487" s="6" t="str">
        <f>IFERROR(__xludf.DUMMYFUNCTION("""COMPUTED_VALUE"""),"Desainer Grafis Muda")</f>
        <v>Desainer Grafis Muda</v>
      </c>
      <c r="C487" s="6" t="str">
        <f>IFERROR(__xludf.DUMMYFUNCTION("""COMPUTED_VALUE"""),"SMK Negeri 4 Kendari")</f>
        <v>SMK Negeri 4 Kendari</v>
      </c>
      <c r="F487" s="6" t="str">
        <f>IFERROR(__xludf.DUMMYFUNCTION("""COMPUTED_VALUE"""),"VIKRI RIANSYAH P.")</f>
        <v>VIKRI RIANSYAH P.</v>
      </c>
      <c r="G487" s="13" t="str">
        <f>IFERROR(__xludf.DUMMYFUNCTION("""COMPUTED_VALUE"""),"7471042004080001")</f>
        <v>7471042004080001</v>
      </c>
      <c r="J487" s="7" t="str">
        <f>IFERROR(__xludf.DUMMYFUNCTION("""COMPUTED_VALUE"""),"LAKI-LAKI")</f>
        <v>LAKI-LAKI</v>
      </c>
      <c r="K487" s="6" t="str">
        <f>IFERROR(__xludf.DUMMYFUNCTION("""COMPUTED_VALUE"""),"Jln. Sakulawu 7")</f>
        <v>Jln. Sakulawu 7</v>
      </c>
      <c r="N487" s="8" t="s">
        <v>19</v>
      </c>
      <c r="R487" s="7" t="str">
        <f>IFERROR(__xludf.DUMMYFUNCTION("""COMPUTED_VALUE"""),"K")</f>
        <v>K</v>
      </c>
    </row>
    <row r="488" ht="22.5" customHeight="1">
      <c r="A488" s="6">
        <v>487.0</v>
      </c>
      <c r="B488" s="6" t="str">
        <f>IFERROR(__xludf.DUMMYFUNCTION("""COMPUTED_VALUE"""),"Desainer Grafis Muda")</f>
        <v>Desainer Grafis Muda</v>
      </c>
      <c r="C488" s="6" t="str">
        <f>IFERROR(__xludf.DUMMYFUNCTION("""COMPUTED_VALUE"""),"SMK Negeri 4 Kendari")</f>
        <v>SMK Negeri 4 Kendari</v>
      </c>
      <c r="F488" s="6" t="str">
        <f>IFERROR(__xludf.DUMMYFUNCTION("""COMPUTED_VALUE"""),"SATRIO PANGESTU")</f>
        <v>SATRIO PANGESTU</v>
      </c>
      <c r="G488" s="13" t="str">
        <f>IFERROR(__xludf.DUMMYFUNCTION("""COMPUTED_VALUE"""),"7471041110000002")</f>
        <v>7471041110000002</v>
      </c>
      <c r="J488" s="7" t="str">
        <f>IFERROR(__xludf.DUMMYFUNCTION("""COMPUTED_VALUE"""),"LAKI-LAKI")</f>
        <v>LAKI-LAKI</v>
      </c>
      <c r="K488" s="6" t="str">
        <f>IFERROR(__xludf.DUMMYFUNCTION("""COMPUTED_VALUE"""),"Jl. Kijang No. 2, Poasia, Kota Kendari")</f>
        <v>Jl. Kijang No. 2, Poasia, Kota Kendari</v>
      </c>
      <c r="N488" s="8" t="s">
        <v>19</v>
      </c>
      <c r="R488" s="7" t="str">
        <f>IFERROR(__xludf.DUMMYFUNCTION("""COMPUTED_VALUE"""),"K")</f>
        <v>K</v>
      </c>
    </row>
    <row r="489" ht="22.5" customHeight="1">
      <c r="A489" s="6">
        <v>488.0</v>
      </c>
      <c r="B489" s="6" t="str">
        <f>IFERROR(__xludf.DUMMYFUNCTION("""COMPUTED_VALUE"""),"Desainer Grafis Muda")</f>
        <v>Desainer Grafis Muda</v>
      </c>
      <c r="C489" s="6" t="str">
        <f>IFERROR(__xludf.DUMMYFUNCTION("""COMPUTED_VALUE"""),"SMK Negeri 4 Kendari")</f>
        <v>SMK Negeri 4 Kendari</v>
      </c>
      <c r="F489" s="6" t="str">
        <f>IFERROR(__xludf.DUMMYFUNCTION("""COMPUTED_VALUE"""),"APRIL DIAN SAPUTRA")</f>
        <v>APRIL DIAN SAPUTRA</v>
      </c>
      <c r="G489" s="13" t="str">
        <f>IFERROR(__xludf.DUMMYFUNCTION("""COMPUTED_VALUE"""),"7471050404950002")</f>
        <v>7471050404950002</v>
      </c>
      <c r="J489" s="7" t="str">
        <f>IFERROR(__xludf.DUMMYFUNCTION("""COMPUTED_VALUE"""),"LAKI-LAKI")</f>
        <v>LAKI-LAKI</v>
      </c>
      <c r="K489" s="6" t="str">
        <f>IFERROR(__xludf.DUMMYFUNCTION("""COMPUTED_VALUE"""),"Jl. Dr. Sam Ratulangi, Lrg. Bina Guna")</f>
        <v>Jl. Dr. Sam Ratulangi, Lrg. Bina Guna</v>
      </c>
      <c r="N489" s="8" t="s">
        <v>19</v>
      </c>
      <c r="R489" s="7" t="str">
        <f>IFERROR(__xludf.DUMMYFUNCTION("""COMPUTED_VALUE"""),"K")</f>
        <v>K</v>
      </c>
    </row>
    <row r="490" ht="22.5" customHeight="1">
      <c r="A490" s="6">
        <v>489.0</v>
      </c>
      <c r="B490" s="6" t="str">
        <f>IFERROR(__xludf.DUMMYFUNCTION("""COMPUTED_VALUE"""),"Desainer Grafis Muda")</f>
        <v>Desainer Grafis Muda</v>
      </c>
      <c r="C490" s="6" t="str">
        <f>IFERROR(__xludf.DUMMYFUNCTION("""COMPUTED_VALUE"""),"SMK Negeri 4 Kendari")</f>
        <v>SMK Negeri 4 Kendari</v>
      </c>
      <c r="F490" s="6" t="str">
        <f>IFERROR(__xludf.DUMMYFUNCTION("""COMPUTED_VALUE"""),"MUHAMMAD INDRA FAISAL")</f>
        <v>MUHAMMAD INDRA FAISAL</v>
      </c>
      <c r="G490" s="13" t="str">
        <f>IFERROR(__xludf.DUMMYFUNCTION("""COMPUTED_VALUE"""),"7471031001900002")</f>
        <v>7471031001900002</v>
      </c>
      <c r="J490" s="7" t="str">
        <f>IFERROR(__xludf.DUMMYFUNCTION("""COMPUTED_VALUE"""),"LAKI-LAKI")</f>
        <v>LAKI-LAKI</v>
      </c>
      <c r="K490" s="6" t="str">
        <f>IFERROR(__xludf.DUMMYFUNCTION("""COMPUTED_VALUE"""),"-")</f>
        <v>-</v>
      </c>
      <c r="N490" s="8" t="s">
        <v>19</v>
      </c>
      <c r="R490" s="7" t="str">
        <f>IFERROR(__xludf.DUMMYFUNCTION("""COMPUTED_VALUE"""),"K")</f>
        <v>K</v>
      </c>
    </row>
    <row r="491" ht="22.5" customHeight="1">
      <c r="A491" s="6">
        <v>490.0</v>
      </c>
      <c r="B491" s="6" t="str">
        <f>IFERROR(__xludf.DUMMYFUNCTION("""COMPUTED_VALUE"""),"Desainer Grafis Muda")</f>
        <v>Desainer Grafis Muda</v>
      </c>
      <c r="C491" s="6" t="str">
        <f>IFERROR(__xludf.DUMMYFUNCTION("""COMPUTED_VALUE"""),"SMK Negeri 4 Kendari")</f>
        <v>SMK Negeri 4 Kendari</v>
      </c>
      <c r="F491" s="6" t="str">
        <f>IFERROR(__xludf.DUMMYFUNCTION("""COMPUTED_VALUE"""),"MUH. MASYKUR SAADUDDIN")</f>
        <v>MUH. MASYKUR SAADUDDIN</v>
      </c>
      <c r="G491" s="13" t="str">
        <f>IFERROR(__xludf.DUMMYFUNCTION("""COMPUTED_VALUE"""),"7471040312930001")</f>
        <v>7471040312930001</v>
      </c>
      <c r="J491" s="7" t="str">
        <f>IFERROR(__xludf.DUMMYFUNCTION("""COMPUTED_VALUE"""),"LAKI-LAKI")</f>
        <v>LAKI-LAKI</v>
      </c>
      <c r="K491" s="6" t="str">
        <f>IFERROR(__xludf.DUMMYFUNCTION("""COMPUTED_VALUE"""),"Jl. H.E.A. Mokodompit, Lr. Pelangi")</f>
        <v>Jl. H.E.A. Mokodompit, Lr. Pelangi</v>
      </c>
      <c r="N491" s="8" t="s">
        <v>19</v>
      </c>
      <c r="R491" s="7" t="str">
        <f>IFERROR(__xludf.DUMMYFUNCTION("""COMPUTED_VALUE"""),"K")</f>
        <v>K</v>
      </c>
    </row>
    <row r="492" ht="22.5" customHeight="1">
      <c r="A492" s="6">
        <v>491.0</v>
      </c>
      <c r="B492" s="6" t="str">
        <f>IFERROR(__xludf.DUMMYFUNCTION("""COMPUTED_VALUE"""),"Pengelola Administrasi Perkantoran")</f>
        <v>Pengelola Administrasi Perkantoran</v>
      </c>
      <c r="C492" s="6" t="str">
        <f>IFERROR(__xludf.DUMMYFUNCTION("""COMPUTED_VALUE"""),"SMK Negeri 1 Muna")</f>
        <v>SMK Negeri 1 Muna</v>
      </c>
      <c r="F492" s="6" t="str">
        <f>IFERROR(__xludf.DUMMYFUNCTION("""COMPUTED_VALUE"""),"MASRAWATI")</f>
        <v>MASRAWATI</v>
      </c>
      <c r="G492" s="6"/>
      <c r="J492" s="7" t="str">
        <f>IFERROR(__xludf.DUMMYFUNCTION("""COMPUTED_VALUE"""),"LAKI-LAKI")</f>
        <v>LAKI-LAKI</v>
      </c>
      <c r="K492" s="6" t="str">
        <f>IFERROR(__xludf.DUMMYFUNCTION("""COMPUTED_VALUE"""),"Jl. Lumba-lumba Raha")</f>
        <v>Jl. Lumba-lumba Raha</v>
      </c>
      <c r="N492" s="8" t="s">
        <v>19</v>
      </c>
      <c r="R492" s="7" t="str">
        <f>IFERROR(__xludf.DUMMYFUNCTION("""COMPUTED_VALUE"""),"K")</f>
        <v>K</v>
      </c>
    </row>
    <row r="493" ht="22.5" customHeight="1">
      <c r="A493" s="6">
        <v>492.0</v>
      </c>
      <c r="B493" s="6" t="str">
        <f>IFERROR(__xludf.DUMMYFUNCTION("""COMPUTED_VALUE"""),"Pengelola Administrasi Perkantoran")</f>
        <v>Pengelola Administrasi Perkantoran</v>
      </c>
      <c r="C493" s="6" t="str">
        <f>IFERROR(__xludf.DUMMYFUNCTION("""COMPUTED_VALUE"""),"SMK Negeri 1 Muna")</f>
        <v>SMK Negeri 1 Muna</v>
      </c>
      <c r="F493" s="6" t="str">
        <f>IFERROR(__xludf.DUMMYFUNCTION("""COMPUTED_VALUE"""),"LA KULE")</f>
        <v>LA KULE</v>
      </c>
      <c r="G493" s="6" t="str">
        <f>IFERROR(__xludf.DUMMYFUNCTION("""COMPUTED_VALUE"""),"7403150707850202")</f>
        <v>7403150707850202</v>
      </c>
      <c r="J493" s="7" t="str">
        <f>IFERROR(__xludf.DUMMYFUNCTION("""COMPUTED_VALUE"""),"LAKI-LAKI")</f>
        <v>LAKI-LAKI</v>
      </c>
      <c r="K493" s="6" t="str">
        <f>IFERROR(__xludf.DUMMYFUNCTION("""COMPUTED_VALUE"""),"Ds. Bunloi, Kec. Kongkunaga")</f>
        <v>Ds. Bunloi, Kec. Kongkunaga</v>
      </c>
      <c r="N493" s="8" t="s">
        <v>19</v>
      </c>
      <c r="R493" s="7" t="str">
        <f>IFERROR(__xludf.DUMMYFUNCTION("""COMPUTED_VALUE"""),"K")</f>
        <v>K</v>
      </c>
    </row>
    <row r="494" ht="22.5" customHeight="1">
      <c r="A494" s="6">
        <v>493.0</v>
      </c>
      <c r="B494" s="6" t="str">
        <f>IFERROR(__xludf.DUMMYFUNCTION("""COMPUTED_VALUE"""),"Pengelola Administrasi Perkantoran")</f>
        <v>Pengelola Administrasi Perkantoran</v>
      </c>
      <c r="C494" s="6" t="str">
        <f>IFERROR(__xludf.DUMMYFUNCTION("""COMPUTED_VALUE"""),"SMK Negeri 1 Muna")</f>
        <v>SMK Negeri 1 Muna</v>
      </c>
      <c r="F494" s="6" t="str">
        <f>IFERROR(__xludf.DUMMYFUNCTION("""COMPUTED_VALUE"""),"SALMAWATI")</f>
        <v>SALMAWATI</v>
      </c>
      <c r="G494" s="6" t="str">
        <f>IFERROR(__xludf.DUMMYFUNCTION("""COMPUTED_VALUE"""),"7403386010940001")</f>
        <v>7403386010940001</v>
      </c>
      <c r="J494" s="7" t="str">
        <f>IFERROR(__xludf.DUMMYFUNCTION("""COMPUTED_VALUE"""),"PEREMPUAN")</f>
        <v>PEREMPUAN</v>
      </c>
      <c r="K494" s="6" t="str">
        <f>IFERROR(__xludf.DUMMYFUNCTION("""COMPUTED_VALUE"""),"Desa Loghiya, Kec. Lohia, Kab. Muna")</f>
        <v>Desa Loghiya, Kec. Lohia, Kab. Muna</v>
      </c>
      <c r="N494" s="8" t="s">
        <v>19</v>
      </c>
      <c r="R494" s="7" t="str">
        <f>IFERROR(__xludf.DUMMYFUNCTION("""COMPUTED_VALUE"""),"K")</f>
        <v>K</v>
      </c>
    </row>
    <row r="495" ht="22.5" customHeight="1">
      <c r="A495" s="6">
        <v>494.0</v>
      </c>
      <c r="B495" s="6" t="str">
        <f>IFERROR(__xludf.DUMMYFUNCTION("""COMPUTED_VALUE"""),"Pengelola Administrasi Perkantoran")</f>
        <v>Pengelola Administrasi Perkantoran</v>
      </c>
      <c r="C495" s="6" t="str">
        <f>IFERROR(__xludf.DUMMYFUNCTION("""COMPUTED_VALUE"""),"SMK Negeri 1 Muna")</f>
        <v>SMK Negeri 1 Muna</v>
      </c>
      <c r="F495" s="6" t="str">
        <f>IFERROR(__xludf.DUMMYFUNCTION("""COMPUTED_VALUE"""),"WA ODE HASRIA")</f>
        <v>WA ODE HASRIA</v>
      </c>
      <c r="G495" s="6" t="str">
        <f>IFERROR(__xludf.DUMMYFUNCTION("""COMPUTED_VALUE"""),"7403096805930001")</f>
        <v>7403096805930001</v>
      </c>
      <c r="J495" s="7" t="str">
        <f>IFERROR(__xludf.DUMMYFUNCTION("""COMPUTED_VALUE"""),"PEREMPUAN")</f>
        <v>PEREMPUAN</v>
      </c>
      <c r="K495" s="6" t="str">
        <f>IFERROR(__xludf.DUMMYFUNCTION("""COMPUTED_VALUE"""),"Desa Bonea, Kec. Lasalepa, Kab. Muna")</f>
        <v>Desa Bonea, Kec. Lasalepa, Kab. Muna</v>
      </c>
      <c r="N495" s="8" t="s">
        <v>19</v>
      </c>
      <c r="R495" s="7" t="str">
        <f>IFERROR(__xludf.DUMMYFUNCTION("""COMPUTED_VALUE"""),"K")</f>
        <v>K</v>
      </c>
    </row>
    <row r="496" ht="22.5" customHeight="1">
      <c r="A496" s="6">
        <v>495.0</v>
      </c>
      <c r="B496" s="6" t="str">
        <f>IFERROR(__xludf.DUMMYFUNCTION("""COMPUTED_VALUE"""),"Pengelola Administrasi Perkantoran")</f>
        <v>Pengelola Administrasi Perkantoran</v>
      </c>
      <c r="C496" s="6" t="str">
        <f>IFERROR(__xludf.DUMMYFUNCTION("""COMPUTED_VALUE"""),"SMK Negeri 1 Muna")</f>
        <v>SMK Negeri 1 Muna</v>
      </c>
      <c r="F496" s="6" t="str">
        <f>IFERROR(__xludf.DUMMYFUNCTION("""COMPUTED_VALUE"""),"FIRDAUS")</f>
        <v>FIRDAUS</v>
      </c>
      <c r="G496" s="6" t="str">
        <f>IFERROR(__xludf.DUMMYFUNCTION("""COMPUTED_VALUE"""),"7403161103910002")</f>
        <v>7403161103910002</v>
      </c>
      <c r="J496" s="7" t="str">
        <f>IFERROR(__xludf.DUMMYFUNCTION("""COMPUTED_VALUE"""),"LAKI-LAKI")</f>
        <v>LAKI-LAKI</v>
      </c>
      <c r="K496" s="6" t="str">
        <f>IFERROR(__xludf.DUMMYFUNCTION("""COMPUTED_VALUE"""),"Jln. Gatotsubrito, Kel. Wamponiki, Kec. Katobu")</f>
        <v>Jln. Gatotsubrito, Kel. Wamponiki, Kec. Katobu</v>
      </c>
      <c r="N496" s="8" t="s">
        <v>19</v>
      </c>
      <c r="R496" s="7" t="str">
        <f>IFERROR(__xludf.DUMMYFUNCTION("""COMPUTED_VALUE"""),"K")</f>
        <v>K</v>
      </c>
    </row>
    <row r="497" ht="22.5" customHeight="1">
      <c r="A497" s="6">
        <v>496.0</v>
      </c>
      <c r="B497" s="6" t="str">
        <f>IFERROR(__xludf.DUMMYFUNCTION("""COMPUTED_VALUE"""),"Pengelola Administrasi Perkantoran")</f>
        <v>Pengelola Administrasi Perkantoran</v>
      </c>
      <c r="C497" s="6" t="str">
        <f>IFERROR(__xludf.DUMMYFUNCTION("""COMPUTED_VALUE"""),"SMK Negeri 1 Muna")</f>
        <v>SMK Negeri 1 Muna</v>
      </c>
      <c r="F497" s="6" t="str">
        <f>IFERROR(__xludf.DUMMYFUNCTION("""COMPUTED_VALUE"""),"RISKI SAMSIDAR SEKO")</f>
        <v>RISKI SAMSIDAR SEKO</v>
      </c>
      <c r="G497" s="6">
        <f>IFERROR(__xludf.DUMMYFUNCTION("""COMPUTED_VALUE"""),7.40519110189E14)</f>
        <v>740519110189000</v>
      </c>
      <c r="J497" s="7" t="str">
        <f>IFERROR(__xludf.DUMMYFUNCTION("""COMPUTED_VALUE"""),"LAKI-LAKI")</f>
        <v>LAKI-LAKI</v>
      </c>
      <c r="K497" s="6" t="str">
        <f>IFERROR(__xludf.DUMMYFUNCTION("""COMPUTED_VALUE"""),"Jl. Delima RT/RW 02/03 Kel. Raha II, Kec. Katobu")</f>
        <v>Jl. Delima RT/RW 02/03 Kel. Raha II, Kec. Katobu</v>
      </c>
      <c r="N497" s="8" t="s">
        <v>19</v>
      </c>
      <c r="R497" s="7" t="str">
        <f>IFERROR(__xludf.DUMMYFUNCTION("""COMPUTED_VALUE"""),"K")</f>
        <v>K</v>
      </c>
    </row>
    <row r="498" ht="22.5" customHeight="1">
      <c r="A498" s="6">
        <v>497.0</v>
      </c>
      <c r="B498" s="6" t="str">
        <f>IFERROR(__xludf.DUMMYFUNCTION("""COMPUTED_VALUE"""),"Pengelola Administrasi Perkantoran")</f>
        <v>Pengelola Administrasi Perkantoran</v>
      </c>
      <c r="C498" s="6" t="str">
        <f>IFERROR(__xludf.DUMMYFUNCTION("""COMPUTED_VALUE"""),"SMK Negeri 1 Muna")</f>
        <v>SMK Negeri 1 Muna</v>
      </c>
      <c r="F498" s="6" t="str">
        <f>IFERROR(__xludf.DUMMYFUNCTION("""COMPUTED_VALUE"""),"SRI KUSUMAWATI")</f>
        <v>SRI KUSUMAWATI</v>
      </c>
      <c r="G498" s="6" t="str">
        <f>IFERROR(__xludf.DUMMYFUNCTION("""COMPUTED_VALUE"""),"7403114304890202")</f>
        <v>7403114304890202</v>
      </c>
      <c r="J498" s="7" t="str">
        <f>IFERROR(__xludf.DUMMYFUNCTION("""COMPUTED_VALUE"""),"PEREMPUAN")</f>
        <v>PEREMPUAN</v>
      </c>
      <c r="K498" s="6" t="str">
        <f>IFERROR(__xludf.DUMMYFUNCTION("""COMPUTED_VALUE"""),"Jl. Made Sabara")</f>
        <v>Jl. Made Sabara</v>
      </c>
      <c r="N498" s="8" t="s">
        <v>19</v>
      </c>
      <c r="R498" s="7" t="str">
        <f>IFERROR(__xludf.DUMMYFUNCTION("""COMPUTED_VALUE"""),"K")</f>
        <v>K</v>
      </c>
    </row>
    <row r="499" ht="22.5" customHeight="1">
      <c r="A499" s="6">
        <v>498.0</v>
      </c>
      <c r="B499" s="6" t="str">
        <f>IFERROR(__xludf.DUMMYFUNCTION("""COMPUTED_VALUE"""),"Pengelola Administrasi Perkantoran")</f>
        <v>Pengelola Administrasi Perkantoran</v>
      </c>
      <c r="C499" s="6" t="str">
        <f>IFERROR(__xludf.DUMMYFUNCTION("""COMPUTED_VALUE"""),"SMK Negeri 1 Muna")</f>
        <v>SMK Negeri 1 Muna</v>
      </c>
      <c r="F499" s="6" t="str">
        <f>IFERROR(__xludf.DUMMYFUNCTION("""COMPUTED_VALUE"""),"RISKA")</f>
        <v>RISKA</v>
      </c>
      <c r="G499" s="6" t="str">
        <f>IFERROR(__xludf.DUMMYFUNCTION("""COMPUTED_VALUE"""),"7403114803940001")</f>
        <v>7403114803940001</v>
      </c>
      <c r="J499" s="7" t="str">
        <f>IFERROR(__xludf.DUMMYFUNCTION("""COMPUTED_VALUE"""),"PEREMPUAN")</f>
        <v>PEREMPUAN</v>
      </c>
      <c r="K499" s="6" t="str">
        <f>IFERROR(__xludf.DUMMYFUNCTION("""COMPUTED_VALUE"""),"Jl. Bunga Cerapaka")</f>
        <v>Jl. Bunga Cerapaka</v>
      </c>
      <c r="N499" s="8" t="s">
        <v>19</v>
      </c>
      <c r="R499" s="7" t="str">
        <f>IFERROR(__xludf.DUMMYFUNCTION("""COMPUTED_VALUE"""),"K")</f>
        <v>K</v>
      </c>
    </row>
    <row r="500" ht="22.5" customHeight="1">
      <c r="A500" s="6">
        <v>499.0</v>
      </c>
      <c r="B500" s="6" t="str">
        <f>IFERROR(__xludf.DUMMYFUNCTION("""COMPUTED_VALUE"""),"Pengelola Administrasi Perkantoran")</f>
        <v>Pengelola Administrasi Perkantoran</v>
      </c>
      <c r="C500" s="6" t="str">
        <f>IFERROR(__xludf.DUMMYFUNCTION("""COMPUTED_VALUE"""),"SMK Negeri 1 Muna")</f>
        <v>SMK Negeri 1 Muna</v>
      </c>
      <c r="F500" s="6" t="str">
        <f>IFERROR(__xludf.DUMMYFUNCTION("""COMPUTED_VALUE"""),"YENNI DARNA KOES INDAH")</f>
        <v>YENNI DARNA KOES INDAH</v>
      </c>
      <c r="G500" s="6" t="str">
        <f>IFERROR(__xludf.DUMMYFUNCTION("""COMPUTED_VALUE"""),"7403165601820001")</f>
        <v>7403165601820001</v>
      </c>
      <c r="J500" s="7" t="str">
        <f>IFERROR(__xludf.DUMMYFUNCTION("""COMPUTED_VALUE"""),"PEREMPUAN")</f>
        <v>PEREMPUAN</v>
      </c>
      <c r="K500" s="6" t="str">
        <f>IFERROR(__xludf.DUMMYFUNCTION("""COMPUTED_VALUE"""),"Jl. H. Agus Salim, No. 20 Raha")</f>
        <v>Jl. H. Agus Salim, No. 20 Raha</v>
      </c>
      <c r="N500" s="8" t="s">
        <v>19</v>
      </c>
      <c r="R500" s="7" t="str">
        <f>IFERROR(__xludf.DUMMYFUNCTION("""COMPUTED_VALUE"""),"K")</f>
        <v>K</v>
      </c>
    </row>
    <row r="501" ht="22.5" customHeight="1">
      <c r="A501" s="6">
        <v>500.0</v>
      </c>
      <c r="B501" s="6" t="str">
        <f>IFERROR(__xludf.DUMMYFUNCTION("""COMPUTED_VALUE"""),"Pengelola Administrasi Perkantoran")</f>
        <v>Pengelola Administrasi Perkantoran</v>
      </c>
      <c r="C501" s="6" t="str">
        <f>IFERROR(__xludf.DUMMYFUNCTION("""COMPUTED_VALUE"""),"SMK Negeri 1 Muna")</f>
        <v>SMK Negeri 1 Muna</v>
      </c>
      <c r="F501" s="6" t="str">
        <f>IFERROR(__xludf.DUMMYFUNCTION("""COMPUTED_VALUE"""),"AGNITA NOVIANTI SOLE")</f>
        <v>AGNITA NOVIANTI SOLE</v>
      </c>
      <c r="G501" s="6" t="str">
        <f>IFERROR(__xludf.DUMMYFUNCTION("""COMPUTED_VALUE"""),"7403164211070002")</f>
        <v>7403164211070002</v>
      </c>
      <c r="J501" s="7" t="str">
        <f>IFERROR(__xludf.DUMMYFUNCTION("""COMPUTED_VALUE"""),"PEREMPUAN")</f>
        <v>PEREMPUAN</v>
      </c>
      <c r="K501" s="6" t="str">
        <f>IFERROR(__xludf.DUMMYFUNCTION("""COMPUTED_VALUE"""),"Jl. ABD Kudus")</f>
        <v>Jl. ABD Kudus</v>
      </c>
      <c r="N501" s="8" t="s">
        <v>19</v>
      </c>
      <c r="R501" s="7" t="str">
        <f>IFERROR(__xludf.DUMMYFUNCTION("""COMPUTED_VALUE"""),"K")</f>
        <v>K</v>
      </c>
    </row>
    <row r="502" ht="22.5" customHeight="1">
      <c r="A502" s="6">
        <v>501.0</v>
      </c>
      <c r="B502" s="6" t="str">
        <f>IFERROR(__xludf.DUMMYFUNCTION("""COMPUTED_VALUE"""),"Pengelola Administrasi Perkantoran")</f>
        <v>Pengelola Administrasi Perkantoran</v>
      </c>
      <c r="C502" s="6" t="str">
        <f>IFERROR(__xludf.DUMMYFUNCTION("""COMPUTED_VALUE"""),"SMK Negeri 1 Muna")</f>
        <v>SMK Negeri 1 Muna</v>
      </c>
      <c r="F502" s="6" t="str">
        <f>IFERROR(__xludf.DUMMYFUNCTION("""COMPUTED_VALUE"""),"AMIRAH SHAKILA ALYA BADRINA")</f>
        <v>AMIRAH SHAKILA ALYA BADRINA</v>
      </c>
      <c r="G502" s="6" t="str">
        <f>IFERROR(__xludf.DUMMYFUNCTION("""COMPUTED_VALUE"""),"7371034704080001")</f>
        <v>7371034704080001</v>
      </c>
      <c r="J502" s="7" t="str">
        <f>IFERROR(__xludf.DUMMYFUNCTION("""COMPUTED_VALUE"""),"PEREMPUAN")</f>
        <v>PEREMPUAN</v>
      </c>
      <c r="K502" s="6" t="str">
        <f>IFERROR(__xludf.DUMMYFUNCTION("""COMPUTED_VALUE"""),"Jl. Sutan Syahrir")</f>
        <v>Jl. Sutan Syahrir</v>
      </c>
      <c r="N502" s="8" t="s">
        <v>19</v>
      </c>
      <c r="R502" s="7" t="str">
        <f>IFERROR(__xludf.DUMMYFUNCTION("""COMPUTED_VALUE"""),"K")</f>
        <v>K</v>
      </c>
    </row>
    <row r="503" ht="22.5" customHeight="1">
      <c r="A503" s="6">
        <v>502.0</v>
      </c>
      <c r="B503" s="6" t="str">
        <f>IFERROR(__xludf.DUMMYFUNCTION("""COMPUTED_VALUE"""),"Pengelola Administrasi Perkantoran")</f>
        <v>Pengelola Administrasi Perkantoran</v>
      </c>
      <c r="C503" s="6" t="str">
        <f>IFERROR(__xludf.DUMMYFUNCTION("""COMPUTED_VALUE"""),"SMK Negeri 1 Muna")</f>
        <v>SMK Negeri 1 Muna</v>
      </c>
      <c r="F503" s="6" t="str">
        <f>IFERROR(__xludf.DUMMYFUNCTION("""COMPUTED_VALUE"""),"AULIA NANDA")</f>
        <v>AULIA NANDA</v>
      </c>
      <c r="G503" s="6" t="str">
        <f>IFERROR(__xludf.DUMMYFUNCTION("""COMPUTED_VALUE"""),"7403175906080001")</f>
        <v>7403175906080001</v>
      </c>
      <c r="J503" s="7" t="str">
        <f>IFERROR(__xludf.DUMMYFUNCTION("""COMPUTED_VALUE"""),"PEREMPUAN")</f>
        <v>PEREMPUAN</v>
      </c>
      <c r="K503" s="6" t="str">
        <f>IFERROR(__xludf.DUMMYFUNCTION("""COMPUTED_VALUE"""),"Jl. Wahabara Desa Lagasa, Kec. Duruka, Kab. Muna")</f>
        <v>Jl. Wahabara Desa Lagasa, Kec. Duruka, Kab. Muna</v>
      </c>
      <c r="N503" s="8" t="s">
        <v>19</v>
      </c>
      <c r="R503" s="7" t="str">
        <f>IFERROR(__xludf.DUMMYFUNCTION("""COMPUTED_VALUE"""),"K")</f>
        <v>K</v>
      </c>
    </row>
    <row r="504" ht="22.5" customHeight="1">
      <c r="A504" s="6">
        <v>503.0</v>
      </c>
      <c r="B504" s="6" t="str">
        <f>IFERROR(__xludf.DUMMYFUNCTION("""COMPUTED_VALUE"""),"Pengelola Administrasi Perkantoran")</f>
        <v>Pengelola Administrasi Perkantoran</v>
      </c>
      <c r="C504" s="6" t="str">
        <f>IFERROR(__xludf.DUMMYFUNCTION("""COMPUTED_VALUE"""),"SMK Negeri 1 Muna")</f>
        <v>SMK Negeri 1 Muna</v>
      </c>
      <c r="F504" s="6" t="str">
        <f>IFERROR(__xludf.DUMMYFUNCTION("""COMPUTED_VALUE"""),"AYESHA ANASTASIA")</f>
        <v>AYESHA ANASTASIA</v>
      </c>
      <c r="G504" s="6" t="str">
        <f>IFERROR(__xludf.DUMMYFUNCTION("""COMPUTED_VALUE"""),"7403144106080001")</f>
        <v>7403144106080001</v>
      </c>
      <c r="J504" s="7" t="str">
        <f>IFERROR(__xludf.DUMMYFUNCTION("""COMPUTED_VALUE"""),"PEREMPUAN")</f>
        <v>PEREMPUAN</v>
      </c>
      <c r="K504" s="6" t="str">
        <f>IFERROR(__xludf.DUMMYFUNCTION("""COMPUTED_VALUE"""),"Bangunsari")</f>
        <v>Bangunsari</v>
      </c>
      <c r="N504" s="8" t="s">
        <v>19</v>
      </c>
      <c r="R504" s="7" t="str">
        <f>IFERROR(__xludf.DUMMYFUNCTION("""COMPUTED_VALUE"""),"K")</f>
        <v>K</v>
      </c>
    </row>
    <row r="505" ht="22.5" customHeight="1">
      <c r="A505" s="6">
        <v>504.0</v>
      </c>
      <c r="B505" s="6" t="str">
        <f>IFERROR(__xludf.DUMMYFUNCTION("""COMPUTED_VALUE"""),"Pengelola Administrasi Perkantoran")</f>
        <v>Pengelola Administrasi Perkantoran</v>
      </c>
      <c r="C505" s="6" t="str">
        <f>IFERROR(__xludf.DUMMYFUNCTION("""COMPUTED_VALUE"""),"SMK Negeri 1 Muna")</f>
        <v>SMK Negeri 1 Muna</v>
      </c>
      <c r="F505" s="6" t="str">
        <f>IFERROR(__xludf.DUMMYFUNCTION("""COMPUTED_VALUE"""),"ELSY ANGGRAINI")</f>
        <v>ELSY ANGGRAINI</v>
      </c>
      <c r="G505" s="6" t="str">
        <f>IFERROR(__xludf.DUMMYFUNCTION("""COMPUTED_VALUE"""),"7403144107070229")</f>
        <v>7403144107070229</v>
      </c>
      <c r="J505" s="7" t="str">
        <f>IFERROR(__xludf.DUMMYFUNCTION("""COMPUTED_VALUE"""),"PEREMPUAN")</f>
        <v>PEREMPUAN</v>
      </c>
      <c r="K505" s="6" t="str">
        <f>IFERROR(__xludf.DUMMYFUNCTION("""COMPUTED_VALUE"""),"Bangunsari")</f>
        <v>Bangunsari</v>
      </c>
      <c r="N505" s="8" t="s">
        <v>19</v>
      </c>
      <c r="R505" s="7" t="str">
        <f>IFERROR(__xludf.DUMMYFUNCTION("""COMPUTED_VALUE"""),"K")</f>
        <v>K</v>
      </c>
    </row>
    <row r="506" ht="22.5" customHeight="1">
      <c r="A506" s="6">
        <v>505.0</v>
      </c>
      <c r="B506" s="6" t="str">
        <f>IFERROR(__xludf.DUMMYFUNCTION("""COMPUTED_VALUE"""),"Pengelola Administrasi Perkantoran")</f>
        <v>Pengelola Administrasi Perkantoran</v>
      </c>
      <c r="C506" s="6" t="str">
        <f>IFERROR(__xludf.DUMMYFUNCTION("""COMPUTED_VALUE"""),"SMK Negeri 1 Muna")</f>
        <v>SMK Negeri 1 Muna</v>
      </c>
      <c r="F506" s="6" t="str">
        <f>IFERROR(__xludf.DUMMYFUNCTION("""COMPUTED_VALUE"""),"HELMA")</f>
        <v>HELMA</v>
      </c>
      <c r="G506" s="6" t="str">
        <f>IFERROR(__xludf.DUMMYFUNCTION("""COMPUTED_VALUE"""),"7403191002070001")</f>
        <v>7403191002070001</v>
      </c>
      <c r="J506" s="7" t="str">
        <f>IFERROR(__xludf.DUMMYFUNCTION("""COMPUTED_VALUE"""),"LAKI-LAKI")</f>
        <v>LAKI-LAKI</v>
      </c>
      <c r="K506" s="6" t="str">
        <f>IFERROR(__xludf.DUMMYFUNCTION("""COMPUTED_VALUE"""),"Kel. Dana, Kec. Watopute, Kab. Muna")</f>
        <v>Kel. Dana, Kec. Watopute, Kab. Muna</v>
      </c>
      <c r="N506" s="8" t="s">
        <v>19</v>
      </c>
      <c r="R506" s="7" t="str">
        <f>IFERROR(__xludf.DUMMYFUNCTION("""COMPUTED_VALUE"""),"K")</f>
        <v>K</v>
      </c>
    </row>
    <row r="507" ht="22.5" customHeight="1">
      <c r="A507" s="6">
        <v>506.0</v>
      </c>
      <c r="B507" s="6" t="str">
        <f>IFERROR(__xludf.DUMMYFUNCTION("""COMPUTED_VALUE"""),"Pengelola Administrasi Perkantoran")</f>
        <v>Pengelola Administrasi Perkantoran</v>
      </c>
      <c r="C507" s="6" t="str">
        <f>IFERROR(__xludf.DUMMYFUNCTION("""COMPUTED_VALUE"""),"SMK Negeri 1 Muna")</f>
        <v>SMK Negeri 1 Muna</v>
      </c>
      <c r="F507" s="6" t="str">
        <f>IFERROR(__xludf.DUMMYFUNCTION("""COMPUTED_VALUE"""),"KESYA AULYA PRATAMA")</f>
        <v>KESYA AULYA PRATAMA</v>
      </c>
      <c r="G507" s="6" t="str">
        <f>IFERROR(__xludf.DUMMYFUNCTION("""COMPUTED_VALUE"""),"7403116802080502")</f>
        <v>7403116802080502</v>
      </c>
      <c r="J507" s="7" t="str">
        <f>IFERROR(__xludf.DUMMYFUNCTION("""COMPUTED_VALUE"""),"PEREMPUAN")</f>
        <v>PEREMPUAN</v>
      </c>
      <c r="K507" s="6" t="str">
        <f>IFERROR(__xludf.DUMMYFUNCTION("""COMPUTED_VALUE"""),"Jl. Diponegoro")</f>
        <v>Jl. Diponegoro</v>
      </c>
      <c r="N507" s="8" t="s">
        <v>19</v>
      </c>
      <c r="R507" s="7" t="str">
        <f>IFERROR(__xludf.DUMMYFUNCTION("""COMPUTED_VALUE"""),"K")</f>
        <v>K</v>
      </c>
    </row>
    <row r="508" ht="22.5" customHeight="1">
      <c r="A508" s="6">
        <v>507.0</v>
      </c>
      <c r="B508" s="6" t="str">
        <f>IFERROR(__xludf.DUMMYFUNCTION("""COMPUTED_VALUE"""),"Pengelola Administrasi Perkantoran")</f>
        <v>Pengelola Administrasi Perkantoran</v>
      </c>
      <c r="C508" s="6" t="str">
        <f>IFERROR(__xludf.DUMMYFUNCTION("""COMPUTED_VALUE"""),"SMK Negeri 1 Muna")</f>
        <v>SMK Negeri 1 Muna</v>
      </c>
      <c r="F508" s="6" t="str">
        <f>IFERROR(__xludf.DUMMYFUNCTION("""COMPUTED_VALUE"""),"MARLIAN")</f>
        <v>MARLIAN</v>
      </c>
      <c r="G508" s="6" t="str">
        <f>IFERROR(__xludf.DUMMYFUNCTION("""COMPUTED_VALUE"""),"7403194107070253")</f>
        <v>7403194107070253</v>
      </c>
      <c r="J508" s="7" t="str">
        <f>IFERROR(__xludf.DUMMYFUNCTION("""COMPUTED_VALUE"""),"PEREMPUAN")</f>
        <v>PEREMPUAN</v>
      </c>
      <c r="K508" s="6" t="str">
        <f>IFERROR(__xludf.DUMMYFUNCTION("""COMPUTED_VALUE"""),"Desa Benke")</f>
        <v>Desa Benke</v>
      </c>
      <c r="N508" s="8" t="s">
        <v>19</v>
      </c>
      <c r="R508" s="7" t="str">
        <f>IFERROR(__xludf.DUMMYFUNCTION("""COMPUTED_VALUE"""),"K")</f>
        <v>K</v>
      </c>
    </row>
    <row r="509" ht="22.5" customHeight="1">
      <c r="A509" s="6">
        <v>508.0</v>
      </c>
      <c r="B509" s="6" t="str">
        <f>IFERROR(__xludf.DUMMYFUNCTION("""COMPUTED_VALUE"""),"Pengelola Administrasi Perkantoran")</f>
        <v>Pengelola Administrasi Perkantoran</v>
      </c>
      <c r="C509" s="6" t="str">
        <f>IFERROR(__xludf.DUMMYFUNCTION("""COMPUTED_VALUE"""),"SMK Negeri 1 Muna")</f>
        <v>SMK Negeri 1 Muna</v>
      </c>
      <c r="F509" s="6" t="str">
        <f>IFERROR(__xludf.DUMMYFUNCTION("""COMPUTED_VALUE"""),"NADIRA")</f>
        <v>NADIRA</v>
      </c>
      <c r="G509" s="6" t="str">
        <f>IFERROR(__xludf.DUMMYFUNCTION("""COMPUTED_VALUE"""),"7403124303080001")</f>
        <v>7403124303080001</v>
      </c>
      <c r="J509" s="7" t="str">
        <f>IFERROR(__xludf.DUMMYFUNCTION("""COMPUTED_VALUE"""),"PEREMPUAN")</f>
        <v>PEREMPUAN</v>
      </c>
      <c r="K509" s="6" t="str">
        <f>IFERROR(__xludf.DUMMYFUNCTION("""COMPUTED_VALUE"""),"Jl. Sutan Syahrir")</f>
        <v>Jl. Sutan Syahrir</v>
      </c>
      <c r="N509" s="8" t="s">
        <v>19</v>
      </c>
      <c r="R509" s="7" t="str">
        <f>IFERROR(__xludf.DUMMYFUNCTION("""COMPUTED_VALUE"""),"K")</f>
        <v>K</v>
      </c>
    </row>
    <row r="510" ht="22.5" customHeight="1">
      <c r="A510" s="6">
        <v>509.0</v>
      </c>
      <c r="B510" s="6" t="str">
        <f>IFERROR(__xludf.DUMMYFUNCTION("""COMPUTED_VALUE"""),"Pengelola Administrasi Perkantoran")</f>
        <v>Pengelola Administrasi Perkantoran</v>
      </c>
      <c r="C510" s="6" t="str">
        <f>IFERROR(__xludf.DUMMYFUNCTION("""COMPUTED_VALUE"""),"SMK Negeri 1 Muna")</f>
        <v>SMK Negeri 1 Muna</v>
      </c>
      <c r="F510" s="6" t="str">
        <f>IFERROR(__xludf.DUMMYFUNCTION("""COMPUTED_VALUE"""),"NUR ILAM")</f>
        <v>NUR ILAM</v>
      </c>
      <c r="G510" s="6" t="str">
        <f>IFERROR(__xludf.DUMMYFUNCTION("""COMPUTED_VALUE"""),"7403194911070001")</f>
        <v>7403194911070001</v>
      </c>
      <c r="J510" s="7" t="str">
        <f>IFERROR(__xludf.DUMMYFUNCTION("""COMPUTED_VALUE"""),"PEREMPUAN")</f>
        <v>PEREMPUAN</v>
      </c>
      <c r="K510" s="6" t="str">
        <f>IFERROR(__xludf.DUMMYFUNCTION("""COMPUTED_VALUE"""),"Kel. Dana, Kec. Watopute, Kab. Muna")</f>
        <v>Kel. Dana, Kec. Watopute, Kab. Muna</v>
      </c>
      <c r="N510" s="8" t="s">
        <v>19</v>
      </c>
      <c r="R510" s="7" t="str">
        <f>IFERROR(__xludf.DUMMYFUNCTION("""COMPUTED_VALUE"""),"K")</f>
        <v>K</v>
      </c>
    </row>
    <row r="511" ht="22.5" customHeight="1">
      <c r="A511" s="6">
        <v>510.0</v>
      </c>
      <c r="B511" s="6" t="str">
        <f>IFERROR(__xludf.DUMMYFUNCTION("""COMPUTED_VALUE"""),"Pengelola Administrasi Perkantoran")</f>
        <v>Pengelola Administrasi Perkantoran</v>
      </c>
      <c r="C511" s="6" t="str">
        <f>IFERROR(__xludf.DUMMYFUNCTION("""COMPUTED_VALUE"""),"SMK Negeri 1 Muna")</f>
        <v>SMK Negeri 1 Muna</v>
      </c>
      <c r="F511" s="6" t="str">
        <f>IFERROR(__xludf.DUMMYFUNCTION("""COMPUTED_VALUE"""),"NUR MILAN SARI")</f>
        <v>NUR MILAN SARI</v>
      </c>
      <c r="G511" s="6" t="str">
        <f>IFERROR(__xludf.DUMMYFUNCTION("""COMPUTED_VALUE"""),"7403244402880001")</f>
        <v>7403244402880001</v>
      </c>
      <c r="J511" s="7" t="str">
        <f>IFERROR(__xludf.DUMMYFUNCTION("""COMPUTED_VALUE"""),"PEREMPUAN")</f>
        <v>PEREMPUAN</v>
      </c>
      <c r="K511" s="6" t="str">
        <f>IFERROR(__xludf.DUMMYFUNCTION("""COMPUTED_VALUE"""),"Jl. Pendidikan")</f>
        <v>Jl. Pendidikan</v>
      </c>
      <c r="N511" s="8" t="s">
        <v>19</v>
      </c>
      <c r="R511" s="7" t="str">
        <f>IFERROR(__xludf.DUMMYFUNCTION("""COMPUTED_VALUE"""),"K")</f>
        <v>K</v>
      </c>
    </row>
    <row r="512" ht="22.5" customHeight="1">
      <c r="A512" s="6">
        <v>511.0</v>
      </c>
      <c r="B512" s="6" t="str">
        <f>IFERROR(__xludf.DUMMYFUNCTION("""COMPUTED_VALUE"""),"Pengelola Administrasi Perkantoran")</f>
        <v>Pengelola Administrasi Perkantoran</v>
      </c>
      <c r="C512" s="6" t="str">
        <f>IFERROR(__xludf.DUMMYFUNCTION("""COMPUTED_VALUE"""),"SMK Negeri 1 Muna")</f>
        <v>SMK Negeri 1 Muna</v>
      </c>
      <c r="F512" s="6" t="str">
        <f>IFERROR(__xludf.DUMMYFUNCTION("""COMPUTED_VALUE"""),"NURUL MUTMAINA")</f>
        <v>NURUL MUTMAINA</v>
      </c>
      <c r="G512" s="6" t="str">
        <f>IFERROR(__xludf.DUMMYFUNCTION("""COMPUTED_VALUE"""),"7471074102090001")</f>
        <v>7471074102090001</v>
      </c>
      <c r="J512" s="7" t="str">
        <f>IFERROR(__xludf.DUMMYFUNCTION("""COMPUTED_VALUE"""),"PEREMPUAN")</f>
        <v>PEREMPUAN</v>
      </c>
      <c r="K512" s="6" t="str">
        <f>IFERROR(__xludf.DUMMYFUNCTION("""COMPUTED_VALUE"""),"Raha, Desa Lagasa, Jalan Babahara, Lorong III")</f>
        <v>Raha, Desa Lagasa, Jalan Babahara, Lorong III</v>
      </c>
      <c r="N512" s="8" t="s">
        <v>19</v>
      </c>
      <c r="R512" s="7" t="str">
        <f>IFERROR(__xludf.DUMMYFUNCTION("""COMPUTED_VALUE"""),"K")</f>
        <v>K</v>
      </c>
    </row>
    <row r="513" ht="22.5" customHeight="1">
      <c r="A513" s="6">
        <v>512.0</v>
      </c>
      <c r="B513" s="6" t="str">
        <f>IFERROR(__xludf.DUMMYFUNCTION("""COMPUTED_VALUE"""),"Pengelola Administrasi Perkantoran")</f>
        <v>Pengelola Administrasi Perkantoran</v>
      </c>
      <c r="C513" s="6" t="str">
        <f>IFERROR(__xludf.DUMMYFUNCTION("""COMPUTED_VALUE"""),"SMK Negeri 1 Muna")</f>
        <v>SMK Negeri 1 Muna</v>
      </c>
      <c r="F513" s="6" t="str">
        <f>IFERROR(__xludf.DUMMYFUNCTION("""COMPUTED_VALUE"""),"SITTI ANISA RIZAL")</f>
        <v>SITTI ANISA RIZAL</v>
      </c>
      <c r="G513" s="6" t="str">
        <f>IFERROR(__xludf.DUMMYFUNCTION("""COMPUTED_VALUE"""),"7403176707080001")</f>
        <v>7403176707080001</v>
      </c>
      <c r="J513" s="7" t="str">
        <f>IFERROR(__xludf.DUMMYFUNCTION("""COMPUTED_VALUE"""),"PEREMPUAN")</f>
        <v>PEREMPUAN</v>
      </c>
      <c r="K513" s="6" t="str">
        <f>IFERROR(__xludf.DUMMYFUNCTION("""COMPUTED_VALUE"""),"Jln. Sutan Syahrir")</f>
        <v>Jln. Sutan Syahrir</v>
      </c>
      <c r="N513" s="8" t="s">
        <v>19</v>
      </c>
      <c r="R513" s="7" t="str">
        <f>IFERROR(__xludf.DUMMYFUNCTION("""COMPUTED_VALUE"""),"K")</f>
        <v>K</v>
      </c>
    </row>
    <row r="514" ht="22.5" customHeight="1">
      <c r="A514" s="6">
        <v>513.0</v>
      </c>
      <c r="B514" s="6" t="str">
        <f>IFERROR(__xludf.DUMMYFUNCTION("""COMPUTED_VALUE"""),"Pengelola Administrasi Perkantoran")</f>
        <v>Pengelola Administrasi Perkantoran</v>
      </c>
      <c r="C514" s="6" t="str">
        <f>IFERROR(__xludf.DUMMYFUNCTION("""COMPUTED_VALUE"""),"SMK Negeri 1 Muna")</f>
        <v>SMK Negeri 1 Muna</v>
      </c>
      <c r="F514" s="6" t="str">
        <f>IFERROR(__xludf.DUMMYFUNCTION("""COMPUTED_VALUE"""),"WA SARA ELISABET")</f>
        <v>WA SARA ELISABET</v>
      </c>
      <c r="G514" s="6" t="str">
        <f>IFERROR(__xludf.DUMMYFUNCTION("""COMPUTED_VALUE"""),"7404056809080003")</f>
        <v>7404056809080003</v>
      </c>
      <c r="J514" s="7" t="str">
        <f>IFERROR(__xludf.DUMMYFUNCTION("""COMPUTED_VALUE"""),"PEREMPUAN")</f>
        <v>PEREMPUAN</v>
      </c>
      <c r="K514" s="6" t="str">
        <f>IFERROR(__xludf.DUMMYFUNCTION("""COMPUTED_VALUE"""),"Jl. Jendral Sudirman No. 8")</f>
        <v>Jl. Jendral Sudirman No. 8</v>
      </c>
      <c r="N514" s="8" t="s">
        <v>19</v>
      </c>
      <c r="R514" s="7" t="str">
        <f>IFERROR(__xludf.DUMMYFUNCTION("""COMPUTED_VALUE"""),"K")</f>
        <v>K</v>
      </c>
    </row>
    <row r="515" ht="22.5" customHeight="1">
      <c r="A515" s="6">
        <v>514.0</v>
      </c>
      <c r="B515" s="6" t="str">
        <f>IFERROR(__xludf.DUMMYFUNCTION("""COMPUTED_VALUE"""),"Pengelola Administrasi Perkantoran")</f>
        <v>Pengelola Administrasi Perkantoran</v>
      </c>
      <c r="C515" s="6" t="str">
        <f>IFERROR(__xludf.DUMMYFUNCTION("""COMPUTED_VALUE"""),"SMK Negeri 1 Muna")</f>
        <v>SMK Negeri 1 Muna</v>
      </c>
      <c r="F515" s="6" t="str">
        <f>IFERROR(__xludf.DUMMYFUNCTION("""COMPUTED_VALUE"""),"WULANDARI")</f>
        <v>WULANDARI</v>
      </c>
      <c r="G515" s="6" t="str">
        <f>IFERROR(__xludf.DUMMYFUNCTION("""COMPUTED_VALUE"""),"7403184104080001")</f>
        <v>7403184104080001</v>
      </c>
      <c r="J515" s="7" t="str">
        <f>IFERROR(__xludf.DUMMYFUNCTION("""COMPUTED_VALUE"""),"PEREMPUAN")</f>
        <v>PEREMPUAN</v>
      </c>
      <c r="K515" s="6" t="str">
        <f>IFERROR(__xludf.DUMMYFUNCTION("""COMPUTED_VALUE"""),"Desa Kondongia")</f>
        <v>Desa Kondongia</v>
      </c>
      <c r="N515" s="8" t="s">
        <v>19</v>
      </c>
      <c r="R515" s="7" t="str">
        <f>IFERROR(__xludf.DUMMYFUNCTION("""COMPUTED_VALUE"""),"K")</f>
        <v>K</v>
      </c>
    </row>
    <row r="516" ht="22.5" customHeight="1">
      <c r="A516" s="6">
        <v>515.0</v>
      </c>
      <c r="B516" s="6" t="str">
        <f>IFERROR(__xludf.DUMMYFUNCTION("""COMPUTED_VALUE"""),"Pengelola Administrasi Perkantoran")</f>
        <v>Pengelola Administrasi Perkantoran</v>
      </c>
      <c r="C516" s="6" t="str">
        <f>IFERROR(__xludf.DUMMYFUNCTION("""COMPUTED_VALUE"""),"SMK Negeri 1 Muna")</f>
        <v>SMK Negeri 1 Muna</v>
      </c>
      <c r="F516" s="6" t="str">
        <f>IFERROR(__xludf.DUMMYFUNCTION("""COMPUTED_VALUE"""),"YUNGGI ARAYA")</f>
        <v>YUNGGI ARAYA</v>
      </c>
      <c r="G516" s="6" t="str">
        <f>IFERROR(__xludf.DUMMYFUNCTION("""COMPUTED_VALUE"""),"7403124305080502")</f>
        <v>7403124305080502</v>
      </c>
      <c r="J516" s="7" t="str">
        <f>IFERROR(__xludf.DUMMYFUNCTION("""COMPUTED_VALUE"""),"PEREMPUAN")</f>
        <v>PEREMPUAN</v>
      </c>
      <c r="K516" s="6" t="str">
        <f>IFERROR(__xludf.DUMMYFUNCTION("""COMPUTED_VALUE"""),"Desa Lagasa")</f>
        <v>Desa Lagasa</v>
      </c>
      <c r="N516" s="8" t="s">
        <v>19</v>
      </c>
      <c r="R516" s="7" t="str">
        <f>IFERROR(__xludf.DUMMYFUNCTION("""COMPUTED_VALUE"""),"K")</f>
        <v>K</v>
      </c>
    </row>
    <row r="517" ht="22.5" customHeight="1">
      <c r="A517" s="6">
        <v>516.0</v>
      </c>
      <c r="B517" s="6" t="str">
        <f>IFERROR(__xludf.DUMMYFUNCTION("""COMPUTED_VALUE"""),"Pengelola Administrasi Perkantoran")</f>
        <v>Pengelola Administrasi Perkantoran</v>
      </c>
      <c r="C517" s="6" t="str">
        <f>IFERROR(__xludf.DUMMYFUNCTION("""COMPUTED_VALUE"""),"SMK Negeri 1 Muna")</f>
        <v>SMK Negeri 1 Muna</v>
      </c>
      <c r="F517" s="6" t="str">
        <f>IFERROR(__xludf.DUMMYFUNCTION("""COMPUTED_VALUE"""),"ZAINUN FEBRIANI")</f>
        <v>ZAINUN FEBRIANI</v>
      </c>
      <c r="G517" s="6" t="str">
        <f>IFERROR(__xludf.DUMMYFUNCTION("""COMPUTED_VALUE"""),"7403175602000001")</f>
        <v>7403175602000001</v>
      </c>
      <c r="J517" s="7" t="str">
        <f>IFERROR(__xludf.DUMMYFUNCTION("""COMPUTED_VALUE"""),"PEREMPUAN")</f>
        <v>PEREMPUAN</v>
      </c>
      <c r="K517" s="6" t="str">
        <f>IFERROR(__xludf.DUMMYFUNCTION("""COMPUTED_VALUE"""),"Jln. Sutan Syahrir, Wapunto")</f>
        <v>Jln. Sutan Syahrir, Wapunto</v>
      </c>
      <c r="N517" s="8" t="s">
        <v>19</v>
      </c>
      <c r="R517" s="7" t="str">
        <f>IFERROR(__xludf.DUMMYFUNCTION("""COMPUTED_VALUE"""),"K")</f>
        <v>K</v>
      </c>
    </row>
    <row r="518" ht="22.5" customHeight="1">
      <c r="A518" s="6">
        <v>517.0</v>
      </c>
      <c r="B518" s="6" t="str">
        <f>IFERROR(__xludf.DUMMYFUNCTION("""COMPUTED_VALUE"""),"Pengelola Administrasi Perkantoran")</f>
        <v>Pengelola Administrasi Perkantoran</v>
      </c>
      <c r="C518" s="6" t="str">
        <f>IFERROR(__xludf.DUMMYFUNCTION("""COMPUTED_VALUE"""),"SMK Negeri 1 Muna")</f>
        <v>SMK Negeri 1 Muna</v>
      </c>
      <c r="F518" s="6" t="str">
        <f>IFERROR(__xludf.DUMMYFUNCTION("""COMPUTED_VALUE"""),"AHMAD GAMEL")</f>
        <v>AHMAD GAMEL</v>
      </c>
      <c r="G518" s="6" t="str">
        <f>IFERROR(__xludf.DUMMYFUNCTION("""COMPUTED_VALUE"""),"74031206060707070202")</f>
        <v>74031206060707070202</v>
      </c>
      <c r="J518" s="7" t="str">
        <f>IFERROR(__xludf.DUMMYFUNCTION("""COMPUTED_VALUE"""),"LAKI-LAKI")</f>
        <v>LAKI-LAKI</v>
      </c>
      <c r="K518" s="6" t="str">
        <f>IFERROR(__xludf.DUMMYFUNCTION("""COMPUTED_VALUE"""),"Desa Lagasa")</f>
        <v>Desa Lagasa</v>
      </c>
      <c r="N518" s="8" t="s">
        <v>19</v>
      </c>
      <c r="R518" s="7" t="str">
        <f>IFERROR(__xludf.DUMMYFUNCTION("""COMPUTED_VALUE"""),"K")</f>
        <v>K</v>
      </c>
    </row>
    <row r="519" ht="22.5" customHeight="1">
      <c r="A519" s="6">
        <v>518.0</v>
      </c>
      <c r="B519" s="6" t="str">
        <f>IFERROR(__xludf.DUMMYFUNCTION("""COMPUTED_VALUE"""),"Pengelola Administrasi Perkantoran")</f>
        <v>Pengelola Administrasi Perkantoran</v>
      </c>
      <c r="C519" s="6" t="str">
        <f>IFERROR(__xludf.DUMMYFUNCTION("""COMPUTED_VALUE"""),"SMK Negeri 1 Muna")</f>
        <v>SMK Negeri 1 Muna</v>
      </c>
      <c r="F519" s="6" t="str">
        <f>IFERROR(__xludf.DUMMYFUNCTION("""COMPUTED_VALUE"""),"ARJUN RAMPAL")</f>
        <v>ARJUN RAMPAL</v>
      </c>
      <c r="G519" s="6" t="str">
        <f>IFERROR(__xludf.DUMMYFUNCTION("""COMPUTED_VALUE"""),"7403172101090001")</f>
        <v>7403172101090001</v>
      </c>
      <c r="J519" s="7" t="str">
        <f>IFERROR(__xludf.DUMMYFUNCTION("""COMPUTED_VALUE"""),"LAKI-LAKI")</f>
        <v>LAKI-LAKI</v>
      </c>
      <c r="K519" s="6" t="str">
        <f>IFERROR(__xludf.DUMMYFUNCTION("""COMPUTED_VALUE"""),"Desa Lasunapa, Kec. Duruka")</f>
        <v>Desa Lasunapa, Kec. Duruka</v>
      </c>
      <c r="N519" s="8" t="s">
        <v>19</v>
      </c>
      <c r="R519" s="7" t="str">
        <f>IFERROR(__xludf.DUMMYFUNCTION("""COMPUTED_VALUE"""),"K")</f>
        <v>K</v>
      </c>
    </row>
    <row r="520" ht="22.5" customHeight="1">
      <c r="A520" s="6">
        <v>519.0</v>
      </c>
      <c r="B520" s="6" t="str">
        <f>IFERROR(__xludf.DUMMYFUNCTION("""COMPUTED_VALUE"""),"Pengelola Administrasi Perkantoran")</f>
        <v>Pengelola Administrasi Perkantoran</v>
      </c>
      <c r="C520" s="6" t="str">
        <f>IFERROR(__xludf.DUMMYFUNCTION("""COMPUTED_VALUE"""),"SMK Negeri 1 Muna")</f>
        <v>SMK Negeri 1 Muna</v>
      </c>
      <c r="F520" s="6" t="str">
        <f>IFERROR(__xludf.DUMMYFUNCTION("""COMPUTED_VALUE"""),"INTAN")</f>
        <v>INTAN</v>
      </c>
      <c r="G520" s="6" t="str">
        <f>IFERROR(__xludf.DUMMYFUNCTION("""COMPUTED_VALUE"""),"7403146911070001")</f>
        <v>7403146911070001</v>
      </c>
      <c r="J520" s="7" t="str">
        <f>IFERROR(__xludf.DUMMYFUNCTION("""COMPUTED_VALUE"""),"PEREMPUAN")</f>
        <v>PEREMPUAN</v>
      </c>
      <c r="K520" s="6" t="str">
        <f>IFERROR(__xludf.DUMMYFUNCTION("""COMPUTED_VALUE"""),"Desa Labone, Kec. Lasalepa")</f>
        <v>Desa Labone, Kec. Lasalepa</v>
      </c>
      <c r="N520" s="8" t="s">
        <v>19</v>
      </c>
      <c r="R520" s="7" t="str">
        <f>IFERROR(__xludf.DUMMYFUNCTION("""COMPUTED_VALUE"""),"K")</f>
        <v>K</v>
      </c>
    </row>
    <row r="521" ht="22.5" customHeight="1">
      <c r="A521" s="6">
        <v>520.0</v>
      </c>
      <c r="B521" s="6" t="str">
        <f>IFERROR(__xludf.DUMMYFUNCTION("""COMPUTED_VALUE"""),"Pengelola Administrasi Perkantoran")</f>
        <v>Pengelola Administrasi Perkantoran</v>
      </c>
      <c r="C521" s="6" t="str">
        <f>IFERROR(__xludf.DUMMYFUNCTION("""COMPUTED_VALUE"""),"SMK Negeri 1 Muna")</f>
        <v>SMK Negeri 1 Muna</v>
      </c>
      <c r="F521" s="6" t="str">
        <f>IFERROR(__xludf.DUMMYFUNCTION("""COMPUTED_VALUE"""),"LILIS")</f>
        <v>LILIS</v>
      </c>
      <c r="G521" s="6" t="str">
        <f>IFERROR(__xludf.DUMMYFUNCTION("""COMPUTED_VALUE"""),"7403224107070261")</f>
        <v>7403224107070261</v>
      </c>
      <c r="J521" s="7" t="str">
        <f>IFERROR(__xludf.DUMMYFUNCTION("""COMPUTED_VALUE"""),"PEREMPUAN")</f>
        <v>PEREMPUAN</v>
      </c>
      <c r="K521" s="6" t="str">
        <f>IFERROR(__xludf.DUMMYFUNCTION("""COMPUTED_VALUE"""),"Jln. Pendidikan")</f>
        <v>Jln. Pendidikan</v>
      </c>
      <c r="N521" s="8" t="s">
        <v>19</v>
      </c>
      <c r="R521" s="7" t="str">
        <f>IFERROR(__xludf.DUMMYFUNCTION("""COMPUTED_VALUE"""),"BK")</f>
        <v>BK</v>
      </c>
    </row>
    <row r="522" ht="22.5" customHeight="1">
      <c r="A522" s="6">
        <v>521.0</v>
      </c>
      <c r="B522" s="6" t="str">
        <f>IFERROR(__xludf.DUMMYFUNCTION("""COMPUTED_VALUE"""),"Pengelola Administrasi Perkantoran")</f>
        <v>Pengelola Administrasi Perkantoran</v>
      </c>
      <c r="C522" s="6" t="str">
        <f>IFERROR(__xludf.DUMMYFUNCTION("""COMPUTED_VALUE"""),"SMK Negeri 1 Muna")</f>
        <v>SMK Negeri 1 Muna</v>
      </c>
      <c r="F522" s="6" t="str">
        <f>IFERROR(__xludf.DUMMYFUNCTION("""COMPUTED_VALUE"""),"NIKEN MAHARANI")</f>
        <v>NIKEN MAHARANI</v>
      </c>
      <c r="G522" s="6" t="str">
        <f>IFERROR(__xludf.DUMMYFUNCTION("""COMPUTED_VALUE"""),"7403174703070001")</f>
        <v>7403174703070001</v>
      </c>
      <c r="J522" s="7" t="str">
        <f>IFERROR(__xludf.DUMMYFUNCTION("""COMPUTED_VALUE"""),"PEREMPUAN")</f>
        <v>PEREMPUAN</v>
      </c>
      <c r="K522" s="6" t="str">
        <f>IFERROR(__xludf.DUMMYFUNCTION("""COMPUTED_VALUE"""),"Lagasi Bahari II")</f>
        <v>Lagasi Bahari II</v>
      </c>
      <c r="N522" s="8" t="s">
        <v>19</v>
      </c>
      <c r="R522" s="7" t="str">
        <f>IFERROR(__xludf.DUMMYFUNCTION("""COMPUTED_VALUE"""),"K")</f>
        <v>K</v>
      </c>
    </row>
    <row r="523" ht="22.5" customHeight="1">
      <c r="A523" s="6">
        <v>522.0</v>
      </c>
      <c r="B523" s="6" t="str">
        <f>IFERROR(__xludf.DUMMYFUNCTION("""COMPUTED_VALUE"""),"Pengelola Administrasi Perkantoran")</f>
        <v>Pengelola Administrasi Perkantoran</v>
      </c>
      <c r="C523" s="6" t="str">
        <f>IFERROR(__xludf.DUMMYFUNCTION("""COMPUTED_VALUE"""),"SMK Negeri 1 Muna")</f>
        <v>SMK Negeri 1 Muna</v>
      </c>
      <c r="F523" s="6" t="str">
        <f>IFERROR(__xludf.DUMMYFUNCTION("""COMPUTED_VALUE"""),"NUR AZNI WATI")</f>
        <v>NUR AZNI WATI</v>
      </c>
      <c r="G523" s="6" t="str">
        <f>IFERROR(__xludf.DUMMYFUNCTION("""COMPUTED_VALUE"""),"7403114306080002")</f>
        <v>7403114306080002</v>
      </c>
      <c r="J523" s="7" t="str">
        <f>IFERROR(__xludf.DUMMYFUNCTION("""COMPUTED_VALUE"""),"PEREMPUAN")</f>
        <v>PEREMPUAN</v>
      </c>
      <c r="K523" s="6" t="str">
        <f>IFERROR(__xludf.DUMMYFUNCTION("""COMPUTED_VALUE"""),"Jl. Laode Abdul Kudus")</f>
        <v>Jl. Laode Abdul Kudus</v>
      </c>
      <c r="N523" s="8" t="s">
        <v>19</v>
      </c>
      <c r="R523" s="7" t="str">
        <f>IFERROR(__xludf.DUMMYFUNCTION("""COMPUTED_VALUE"""),"K")</f>
        <v>K</v>
      </c>
    </row>
    <row r="524" ht="22.5" customHeight="1">
      <c r="A524" s="6">
        <v>523.0</v>
      </c>
      <c r="B524" s="6" t="str">
        <f>IFERROR(__xludf.DUMMYFUNCTION("""COMPUTED_VALUE"""),"Pengelola Administrasi Perkantoran")</f>
        <v>Pengelola Administrasi Perkantoran</v>
      </c>
      <c r="C524" s="6" t="str">
        <f>IFERROR(__xludf.DUMMYFUNCTION("""COMPUTED_VALUE"""),"SMK Negeri 1 Muna")</f>
        <v>SMK Negeri 1 Muna</v>
      </c>
      <c r="F524" s="6" t="str">
        <f>IFERROR(__xludf.DUMMYFUNCTION("""COMPUTED_VALUE"""),"NUR RISKI")</f>
        <v>NUR RISKI</v>
      </c>
      <c r="G524" s="6" t="str">
        <f>IFERROR(__xludf.DUMMYFUNCTION("""COMPUTED_VALUE"""),"7403095505060201")</f>
        <v>7403095505060201</v>
      </c>
      <c r="J524" s="7" t="str">
        <f>IFERROR(__xludf.DUMMYFUNCTION("""COMPUTED_VALUE"""),"PEREMPUAN")</f>
        <v>PEREMPUAN</v>
      </c>
      <c r="K524" s="6" t="str">
        <f>IFERROR(__xludf.DUMMYFUNCTION("""COMPUTED_VALUE"""),"Parida, Kec. Lasalepa ")</f>
        <v>Parida, Kec. Lasalepa </v>
      </c>
      <c r="N524" s="8" t="s">
        <v>19</v>
      </c>
      <c r="R524" s="7" t="str">
        <f>IFERROR(__xludf.DUMMYFUNCTION("""COMPUTED_VALUE"""),"K")</f>
        <v>K</v>
      </c>
    </row>
    <row r="525" ht="22.5" customHeight="1">
      <c r="A525" s="6">
        <v>524.0</v>
      </c>
      <c r="B525" s="6" t="str">
        <f>IFERROR(__xludf.DUMMYFUNCTION("""COMPUTED_VALUE"""),"Pengelola Administrasi Perkantoran")</f>
        <v>Pengelola Administrasi Perkantoran</v>
      </c>
      <c r="C525" s="6" t="str">
        <f>IFERROR(__xludf.DUMMYFUNCTION("""COMPUTED_VALUE"""),"SMK Negeri 1 Muna")</f>
        <v>SMK Negeri 1 Muna</v>
      </c>
      <c r="F525" s="6" t="str">
        <f>IFERROR(__xludf.DUMMYFUNCTION("""COMPUTED_VALUE"""),"RARA NASFIA")</f>
        <v>RARA NASFIA</v>
      </c>
      <c r="G525" s="6" t="str">
        <f>IFERROR(__xludf.DUMMYFUNCTION("""COMPUTED_VALUE"""),"7410064402080001")</f>
        <v>7410064402080001</v>
      </c>
      <c r="J525" s="7" t="str">
        <f>IFERROR(__xludf.DUMMYFUNCTION("""COMPUTED_VALUE"""),"PEREMPUAN")</f>
        <v>PEREMPUAN</v>
      </c>
      <c r="K525" s="6" t="str">
        <f>IFERROR(__xludf.DUMMYFUNCTION("""COMPUTED_VALUE"""),"Jl. Kasuari ")</f>
        <v>Jl. Kasuari </v>
      </c>
      <c r="N525" s="8" t="s">
        <v>19</v>
      </c>
      <c r="R525" s="7" t="str">
        <f>IFERROR(__xludf.DUMMYFUNCTION("""COMPUTED_VALUE"""),"K")</f>
        <v>K</v>
      </c>
    </row>
    <row r="526" ht="22.5" customHeight="1">
      <c r="A526" s="6">
        <v>525.0</v>
      </c>
      <c r="B526" s="6" t="str">
        <f>IFERROR(__xludf.DUMMYFUNCTION("""COMPUTED_VALUE"""),"Pengelola Administrasi Perkantoran")</f>
        <v>Pengelola Administrasi Perkantoran</v>
      </c>
      <c r="C526" s="6" t="str">
        <f>IFERROR(__xludf.DUMMYFUNCTION("""COMPUTED_VALUE"""),"SMK Negeri 1 Muna")</f>
        <v>SMK Negeri 1 Muna</v>
      </c>
      <c r="F526" s="6" t="str">
        <f>IFERROR(__xludf.DUMMYFUNCTION("""COMPUTED_VALUE"""),"RICKY FAREL")</f>
        <v>RICKY FAREL</v>
      </c>
      <c r="G526" s="6" t="str">
        <f>IFERROR(__xludf.DUMMYFUNCTION("""COMPUTED_VALUE"""),"7472030112070001")</f>
        <v>7472030112070001</v>
      </c>
      <c r="J526" s="7" t="str">
        <f>IFERROR(__xludf.DUMMYFUNCTION("""COMPUTED_VALUE"""),"LAKI-LAKI")</f>
        <v>LAKI-LAKI</v>
      </c>
      <c r="K526" s="6" t="str">
        <f>IFERROR(__xludf.DUMMYFUNCTION("""COMPUTED_VALUE"""),"Desa Kontunaga")</f>
        <v>Desa Kontunaga</v>
      </c>
      <c r="N526" s="8" t="s">
        <v>19</v>
      </c>
      <c r="R526" s="7" t="str">
        <f>IFERROR(__xludf.DUMMYFUNCTION("""COMPUTED_VALUE"""),"K")</f>
        <v>K</v>
      </c>
    </row>
    <row r="527" ht="22.5" customHeight="1">
      <c r="A527" s="6">
        <v>526.0</v>
      </c>
      <c r="B527" s="6" t="str">
        <f>IFERROR(__xludf.DUMMYFUNCTION("""COMPUTED_VALUE"""),"Pengelola Administrasi Perkantoran")</f>
        <v>Pengelola Administrasi Perkantoran</v>
      </c>
      <c r="C527" s="6" t="str">
        <f>IFERROR(__xludf.DUMMYFUNCTION("""COMPUTED_VALUE"""),"SMK Negeri 1 Muna")</f>
        <v>SMK Negeri 1 Muna</v>
      </c>
      <c r="F527" s="6" t="str">
        <f>IFERROR(__xludf.DUMMYFUNCTION("""COMPUTED_VALUE"""),"SAREP RAHMAN")</f>
        <v>SAREP RAHMAN</v>
      </c>
      <c r="G527" s="6" t="str">
        <f>IFERROR(__xludf.DUMMYFUNCTION("""COMPUTED_VALUE"""),"7403170909080002")</f>
        <v>7403170909080002</v>
      </c>
      <c r="J527" s="7" t="str">
        <f>IFERROR(__xludf.DUMMYFUNCTION("""COMPUTED_VALUE"""),"LAKI-LAKI")</f>
        <v>LAKI-LAKI</v>
      </c>
      <c r="K527" s="6" t="str">
        <f>IFERROR(__xludf.DUMMYFUNCTION("""COMPUTED_VALUE"""),"Desa Lagasa Bahari I Dusun 6")</f>
        <v>Desa Lagasa Bahari I Dusun 6</v>
      </c>
      <c r="N527" s="8" t="s">
        <v>19</v>
      </c>
      <c r="R527" s="7" t="str">
        <f>IFERROR(__xludf.DUMMYFUNCTION("""COMPUTED_VALUE"""),"K")</f>
        <v>K</v>
      </c>
    </row>
    <row r="528" ht="22.5" customHeight="1">
      <c r="A528" s="6">
        <v>527.0</v>
      </c>
      <c r="B528" s="6" t="str">
        <f>IFERROR(__xludf.DUMMYFUNCTION("""COMPUTED_VALUE"""),"Pengelola Administrasi Perkantoran")</f>
        <v>Pengelola Administrasi Perkantoran</v>
      </c>
      <c r="C528" s="6" t="str">
        <f>IFERROR(__xludf.DUMMYFUNCTION("""COMPUTED_VALUE"""),"SMK Negeri 1 Muna")</f>
        <v>SMK Negeri 1 Muna</v>
      </c>
      <c r="F528" s="6" t="str">
        <f>IFERROR(__xludf.DUMMYFUNCTION("""COMPUTED_VALUE"""),"SINTYA ADHEL SYAHADAT")</f>
        <v>SINTYA ADHEL SYAHADAT</v>
      </c>
      <c r="G528" s="6" t="str">
        <f>IFERROR(__xludf.DUMMYFUNCTION("""COMPUTED_VALUE"""),"7304165510080002")</f>
        <v>7304165510080002</v>
      </c>
      <c r="J528" s="7" t="str">
        <f>IFERROR(__xludf.DUMMYFUNCTION("""COMPUTED_VALUE"""),"PEREMPUAN")</f>
        <v>PEREMPUAN</v>
      </c>
      <c r="K528" s="6" t="str">
        <f>IFERROR(__xludf.DUMMYFUNCTION("""COMPUTED_VALUE"""),"Jl. Sawerigading")</f>
        <v>Jl. Sawerigading</v>
      </c>
      <c r="N528" s="8" t="s">
        <v>19</v>
      </c>
      <c r="R528" s="7" t="str">
        <f>IFERROR(__xludf.DUMMYFUNCTION("""COMPUTED_VALUE"""),"K")</f>
        <v>K</v>
      </c>
    </row>
    <row r="529" ht="22.5" customHeight="1">
      <c r="A529" s="6">
        <v>528.0</v>
      </c>
      <c r="B529" s="6" t="str">
        <f>IFERROR(__xludf.DUMMYFUNCTION("""COMPUTED_VALUE"""),"Pengelola Administrasi Perkantoran")</f>
        <v>Pengelola Administrasi Perkantoran</v>
      </c>
      <c r="C529" s="6" t="str">
        <f>IFERROR(__xludf.DUMMYFUNCTION("""COMPUTED_VALUE"""),"SMK Negeri 1 Muna")</f>
        <v>SMK Negeri 1 Muna</v>
      </c>
      <c r="F529" s="6" t="str">
        <f>IFERROR(__xludf.DUMMYFUNCTION("""COMPUTED_VALUE"""),"SITI RATNA RAHAYU")</f>
        <v>SITI RATNA RAHAYU</v>
      </c>
      <c r="G529" s="6" t="str">
        <f>IFERROR(__xludf.DUMMYFUNCTION("""COMPUTED_VALUE"""),"7403165207080003")</f>
        <v>7403165207080003</v>
      </c>
      <c r="J529" s="7" t="str">
        <f>IFERROR(__xludf.DUMMYFUNCTION("""COMPUTED_VALUE"""),"PEREMPUAN")</f>
        <v>PEREMPUAN</v>
      </c>
      <c r="K529" s="6" t="str">
        <f>IFERROR(__xludf.DUMMYFUNCTION("""COMPUTED_VALUE"""),"Jl. Basuki Rahmat")</f>
        <v>Jl. Basuki Rahmat</v>
      </c>
      <c r="N529" s="8" t="s">
        <v>19</v>
      </c>
      <c r="R529" s="7" t="str">
        <f>IFERROR(__xludf.DUMMYFUNCTION("""COMPUTED_VALUE"""),"K")</f>
        <v>K</v>
      </c>
    </row>
    <row r="530" ht="22.5" customHeight="1">
      <c r="A530" s="6">
        <v>529.0</v>
      </c>
      <c r="B530" s="6" t="str">
        <f>IFERROR(__xludf.DUMMYFUNCTION("""COMPUTED_VALUE"""),"Pengelola Administrasi Perkantoran")</f>
        <v>Pengelola Administrasi Perkantoran</v>
      </c>
      <c r="C530" s="6" t="str">
        <f>IFERROR(__xludf.DUMMYFUNCTION("""COMPUTED_VALUE"""),"SMK Negeri 1 Muna")</f>
        <v>SMK Negeri 1 Muna</v>
      </c>
      <c r="F530" s="6" t="str">
        <f>IFERROR(__xludf.DUMMYFUNCTION("""COMPUTED_VALUE"""),"TIARA")</f>
        <v>TIARA</v>
      </c>
      <c r="G530" s="6" t="str">
        <f>IFERROR(__xludf.DUMMYFUNCTION("""COMPUTED_VALUE"""),"7403124508070002")</f>
        <v>7403124508070002</v>
      </c>
      <c r="J530" s="7" t="str">
        <f>IFERROR(__xludf.DUMMYFUNCTION("""COMPUTED_VALUE"""),"PEREMPUAN")</f>
        <v>PEREMPUAN</v>
      </c>
      <c r="K530" s="6" t="str">
        <f>IFERROR(__xludf.DUMMYFUNCTION("""COMPUTED_VALUE"""),"Jl. Desa Lagasa Bahari II")</f>
        <v>Jl. Desa Lagasa Bahari II</v>
      </c>
      <c r="N530" s="8" t="s">
        <v>19</v>
      </c>
      <c r="R530" s="7" t="str">
        <f>IFERROR(__xludf.DUMMYFUNCTION("""COMPUTED_VALUE"""),"K")</f>
        <v>K</v>
      </c>
    </row>
    <row r="531" ht="22.5" customHeight="1">
      <c r="A531" s="6">
        <v>530.0</v>
      </c>
      <c r="B531" s="6" t="str">
        <f>IFERROR(__xludf.DUMMYFUNCTION("""COMPUTED_VALUE"""),"Pengelola Administrasi Perkantoran")</f>
        <v>Pengelola Administrasi Perkantoran</v>
      </c>
      <c r="C531" s="6" t="str">
        <f>IFERROR(__xludf.DUMMYFUNCTION("""COMPUTED_VALUE"""),"SMK Negeri 1 Muna")</f>
        <v>SMK Negeri 1 Muna</v>
      </c>
      <c r="F531" s="6" t="str">
        <f>IFERROR(__xludf.DUMMYFUNCTION("""COMPUTED_VALUE"""),"YULI ASMA SANTI")</f>
        <v>YULI ASMA SANTI</v>
      </c>
      <c r="G531" s="6" t="str">
        <f>IFERROR(__xludf.DUMMYFUNCTION("""COMPUTED_VALUE"""),"7403247103080001")</f>
        <v>7403247103080001</v>
      </c>
      <c r="J531" s="7" t="str">
        <f>IFERROR(__xludf.DUMMYFUNCTION("""COMPUTED_VALUE"""),"PEREMPUAN")</f>
        <v>PEREMPUAN</v>
      </c>
      <c r="K531" s="6" t="str">
        <f>IFERROR(__xludf.DUMMYFUNCTION("""COMPUTED_VALUE"""),"Jl. Pendidikan, Lorong siswa 3")</f>
        <v>Jl. Pendidikan, Lorong siswa 3</v>
      </c>
      <c r="N531" s="8" t="s">
        <v>19</v>
      </c>
      <c r="R531" s="7" t="str">
        <f>IFERROR(__xludf.DUMMYFUNCTION("""COMPUTED_VALUE"""),"K")</f>
        <v>K</v>
      </c>
    </row>
    <row r="532" ht="22.5" customHeight="1">
      <c r="A532" s="6">
        <v>531.0</v>
      </c>
      <c r="B532" s="6" t="str">
        <f>IFERROR(__xludf.DUMMYFUNCTION("""COMPUTED_VALUE"""),"Desainer Grafis Muda")</f>
        <v>Desainer Grafis Muda</v>
      </c>
      <c r="C532" s="6" t="str">
        <f>IFERROR(__xludf.DUMMYFUNCTION("""COMPUTED_VALUE"""),"SMK Negeri 1 Muna")</f>
        <v>SMK Negeri 1 Muna</v>
      </c>
      <c r="F532" s="6" t="str">
        <f>IFERROR(__xludf.DUMMYFUNCTION("""COMPUTED_VALUE"""),"RIMLIS MASUHA")</f>
        <v>RIMLIS MASUHA</v>
      </c>
      <c r="G532" s="6" t="str">
        <f>IFERROR(__xludf.DUMMYFUNCTION("""COMPUTED_VALUE"""),"7405030509710001")</f>
        <v>7405030509710001</v>
      </c>
      <c r="J532" s="7" t="str">
        <f>IFERROR(__xludf.DUMMYFUNCTION("""COMPUTED_VALUE"""),"LAKI-LAKI")</f>
        <v>LAKI-LAKI</v>
      </c>
      <c r="K532" s="6" t="str">
        <f>IFERROR(__xludf.DUMMYFUNCTION("""COMPUTED_VALUE"""),"Desa Labone Kec. Lasalepa")</f>
        <v>Desa Labone Kec. Lasalepa</v>
      </c>
      <c r="N532" s="8" t="s">
        <v>19</v>
      </c>
      <c r="R532" s="7" t="str">
        <f>IFERROR(__xludf.DUMMYFUNCTION("""COMPUTED_VALUE"""),"K")</f>
        <v>K</v>
      </c>
    </row>
    <row r="533" ht="22.5" customHeight="1">
      <c r="A533" s="6">
        <v>532.0</v>
      </c>
      <c r="B533" s="6" t="str">
        <f>IFERROR(__xludf.DUMMYFUNCTION("""COMPUTED_VALUE"""),"Desainer Grafis Muda")</f>
        <v>Desainer Grafis Muda</v>
      </c>
      <c r="C533" s="6" t="str">
        <f>IFERROR(__xludf.DUMMYFUNCTION("""COMPUTED_VALUE"""),"SMK Negeri 1 Muna")</f>
        <v>SMK Negeri 1 Muna</v>
      </c>
      <c r="F533" s="6" t="str">
        <f>IFERROR(__xludf.DUMMYFUNCTION("""COMPUTED_VALUE"""),"ISMAIL")</f>
        <v>ISMAIL</v>
      </c>
      <c r="G533" s="6" t="str">
        <f>IFERROR(__xludf.DUMMYFUNCTION("""COMPUTED_VALUE"""),"7403100201880001")</f>
        <v>7403100201880001</v>
      </c>
      <c r="J533" s="7" t="str">
        <f>IFERROR(__xludf.DUMMYFUNCTION("""COMPUTED_VALUE"""),"LAKI-LAKI")</f>
        <v>LAKI-LAKI</v>
      </c>
      <c r="K533" s="6" t="str">
        <f>IFERROR(__xludf.DUMMYFUNCTION("""COMPUTED_VALUE"""),"Jl. Gatot Subroto, Kel Laiworu, Kec Batalaiworu")</f>
        <v>Jl. Gatot Subroto, Kel Laiworu, Kec Batalaiworu</v>
      </c>
      <c r="N533" s="8" t="s">
        <v>19</v>
      </c>
      <c r="R533" s="7" t="str">
        <f>IFERROR(__xludf.DUMMYFUNCTION("""COMPUTED_VALUE"""),"K")</f>
        <v>K</v>
      </c>
    </row>
    <row r="534" ht="22.5" customHeight="1">
      <c r="A534" s="6">
        <v>533.0</v>
      </c>
      <c r="B534" s="6" t="str">
        <f>IFERROR(__xludf.DUMMYFUNCTION("""COMPUTED_VALUE"""),"Desainer Grafis Muda")</f>
        <v>Desainer Grafis Muda</v>
      </c>
      <c r="C534" s="6" t="str">
        <f>IFERROR(__xludf.DUMMYFUNCTION("""COMPUTED_VALUE"""),"SMK Negeri 1 Muna")</f>
        <v>SMK Negeri 1 Muna</v>
      </c>
      <c r="F534" s="6" t="str">
        <f>IFERROR(__xludf.DUMMYFUNCTION("""COMPUTED_VALUE"""),"LA ODE MUHAMMAD HABRI")</f>
        <v>LA ODE MUHAMMAD HABRI</v>
      </c>
      <c r="G534" s="6" t="str">
        <f>IFERROR(__xludf.DUMMYFUNCTION("""COMPUTED_VALUE"""),"7403110510910201")</f>
        <v>7403110510910201</v>
      </c>
      <c r="J534" s="7" t="str">
        <f>IFERROR(__xludf.DUMMYFUNCTION("""COMPUTED_VALUE"""),"LAKI-LAKI")</f>
        <v>LAKI-LAKI</v>
      </c>
      <c r="K534" s="6" t="str">
        <f>IFERROR(__xludf.DUMMYFUNCTION("""COMPUTED_VALUE"""),"Jl. Bunga Anggrek, No. 22")</f>
        <v>Jl. Bunga Anggrek, No. 22</v>
      </c>
      <c r="N534" s="8" t="s">
        <v>19</v>
      </c>
      <c r="R534" s="7" t="str">
        <f>IFERROR(__xludf.DUMMYFUNCTION("""COMPUTED_VALUE"""),"K")</f>
        <v>K</v>
      </c>
    </row>
    <row r="535" ht="22.5" customHeight="1">
      <c r="A535" s="6">
        <v>534.0</v>
      </c>
      <c r="B535" s="6" t="str">
        <f>IFERROR(__xludf.DUMMYFUNCTION("""COMPUTED_VALUE"""),"Desainer Grafis Muda")</f>
        <v>Desainer Grafis Muda</v>
      </c>
      <c r="C535" s="6" t="str">
        <f>IFERROR(__xludf.DUMMYFUNCTION("""COMPUTED_VALUE"""),"SMK Negeri 1 Muna")</f>
        <v>SMK Negeri 1 Muna</v>
      </c>
      <c r="F535" s="6" t="str">
        <f>IFERROR(__xludf.DUMMYFUNCTION("""COMPUTED_VALUE"""),"HENI HUSMIRA")</f>
        <v>HENI HUSMIRA</v>
      </c>
      <c r="G535" s="6" t="str">
        <f>IFERROR(__xludf.DUMMYFUNCTION("""COMPUTED_VALUE"""),"7403145607840201")</f>
        <v>7403145607840201</v>
      </c>
      <c r="J535" s="7" t="str">
        <f>IFERROR(__xludf.DUMMYFUNCTION("""COMPUTED_VALUE"""),"PEREMPUAN")</f>
        <v>PEREMPUAN</v>
      </c>
      <c r="K535" s="6" t="str">
        <f>IFERROR(__xludf.DUMMYFUNCTION("""COMPUTED_VALUE"""),"Desa Labaha, Kec. Watupute, Kab. Muna")</f>
        <v>Desa Labaha, Kec. Watupute, Kab. Muna</v>
      </c>
      <c r="N535" s="8" t="s">
        <v>19</v>
      </c>
      <c r="R535" s="7" t="str">
        <f>IFERROR(__xludf.DUMMYFUNCTION("""COMPUTED_VALUE"""),"K")</f>
        <v>K</v>
      </c>
    </row>
    <row r="536" ht="22.5" customHeight="1">
      <c r="A536" s="6">
        <v>535.0</v>
      </c>
      <c r="B536" s="6" t="str">
        <f>IFERROR(__xludf.DUMMYFUNCTION("""COMPUTED_VALUE"""),"Desainer Grafis Muda")</f>
        <v>Desainer Grafis Muda</v>
      </c>
      <c r="C536" s="6" t="str">
        <f>IFERROR(__xludf.DUMMYFUNCTION("""COMPUTED_VALUE"""),"SMK Negeri 1 Muna")</f>
        <v>SMK Negeri 1 Muna</v>
      </c>
      <c r="F536" s="6" t="str">
        <f>IFERROR(__xludf.DUMMYFUNCTION("""COMPUTED_VALUE"""),"RIZLAN")</f>
        <v>RIZLAN</v>
      </c>
      <c r="G536" s="6" t="str">
        <f>IFERROR(__xludf.DUMMYFUNCTION("""COMPUTED_VALUE"""),"7403180512970002")</f>
        <v>7403180512970002</v>
      </c>
      <c r="J536" s="7" t="str">
        <f>IFERROR(__xludf.DUMMYFUNCTION("""COMPUTED_VALUE"""),"LAKI-LAKI")</f>
        <v>LAKI-LAKI</v>
      </c>
      <c r="K536" s="6" t="str">
        <f>IFERROR(__xludf.DUMMYFUNCTION("""COMPUTED_VALUE"""),"Desa Lakarinta, Kec. Lohia")</f>
        <v>Desa Lakarinta, Kec. Lohia</v>
      </c>
      <c r="N536" s="8" t="s">
        <v>19</v>
      </c>
      <c r="R536" s="7" t="str">
        <f>IFERROR(__xludf.DUMMYFUNCTION("""COMPUTED_VALUE"""),"K")</f>
        <v>K</v>
      </c>
    </row>
    <row r="537" ht="22.5" customHeight="1">
      <c r="A537" s="6">
        <v>536.0</v>
      </c>
      <c r="B537" s="6" t="str">
        <f>IFERROR(__xludf.DUMMYFUNCTION("""COMPUTED_VALUE"""),"Desainer Grafis Muda")</f>
        <v>Desainer Grafis Muda</v>
      </c>
      <c r="C537" s="6" t="str">
        <f>IFERROR(__xludf.DUMMYFUNCTION("""COMPUTED_VALUE"""),"SMK Negeri 1 Muna")</f>
        <v>SMK Negeri 1 Muna</v>
      </c>
      <c r="F537" s="6" t="str">
        <f>IFERROR(__xludf.DUMMYFUNCTION("""COMPUTED_VALUE"""),"SUKMA")</f>
        <v>SUKMA</v>
      </c>
      <c r="G537" s="6" t="str">
        <f>IFERROR(__xludf.DUMMYFUNCTION("""COMPUTED_VALUE"""),"7403177105860202")</f>
        <v>7403177105860202</v>
      </c>
      <c r="J537" s="7" t="str">
        <f>IFERROR(__xludf.DUMMYFUNCTION("""COMPUTED_VALUE"""),"PEREMPUAN")</f>
        <v>PEREMPUAN</v>
      </c>
      <c r="K537" s="6" t="str">
        <f>IFERROR(__xludf.DUMMYFUNCTION("""COMPUTED_VALUE"""),"Jl. Sukowati, Kel. Raha II, Kec. Katobu")</f>
        <v>Jl. Sukowati, Kel. Raha II, Kec. Katobu</v>
      </c>
      <c r="N537" s="8" t="s">
        <v>19</v>
      </c>
      <c r="R537" s="7" t="str">
        <f>IFERROR(__xludf.DUMMYFUNCTION("""COMPUTED_VALUE"""),"K")</f>
        <v>K</v>
      </c>
    </row>
    <row r="538" ht="22.5" customHeight="1">
      <c r="A538" s="6">
        <v>537.0</v>
      </c>
      <c r="B538" s="6" t="str">
        <f>IFERROR(__xludf.DUMMYFUNCTION("""COMPUTED_VALUE"""),"Desainer Grafis Muda")</f>
        <v>Desainer Grafis Muda</v>
      </c>
      <c r="C538" s="6" t="str">
        <f>IFERROR(__xludf.DUMMYFUNCTION("""COMPUTED_VALUE"""),"SMK Negeri 1 Muna")</f>
        <v>SMK Negeri 1 Muna</v>
      </c>
      <c r="F538" s="6" t="str">
        <f>IFERROR(__xludf.DUMMYFUNCTION("""COMPUTED_VALUE"""),"YUYUN RUSMIANTI")</f>
        <v>YUYUN RUSMIANTI</v>
      </c>
      <c r="G538" s="6" t="str">
        <f>IFERROR(__xludf.DUMMYFUNCTION("""COMPUTED_VALUE"""),"7403116609010001")</f>
        <v>7403116609010001</v>
      </c>
      <c r="J538" s="7" t="str">
        <f>IFERROR(__xludf.DUMMYFUNCTION("""COMPUTED_VALUE"""),"PEREMPUAN")</f>
        <v>PEREMPUAN</v>
      </c>
      <c r="K538" s="6" t="str">
        <f>IFERROR(__xludf.DUMMYFUNCTION("""COMPUTED_VALUE"""),"Jln. Bunga Cempaka")</f>
        <v>Jln. Bunga Cempaka</v>
      </c>
      <c r="N538" s="8" t="s">
        <v>19</v>
      </c>
      <c r="R538" s="7" t="str">
        <f>IFERROR(__xludf.DUMMYFUNCTION("""COMPUTED_VALUE"""),"K")</f>
        <v>K</v>
      </c>
    </row>
    <row r="539" ht="22.5" customHeight="1">
      <c r="A539" s="6">
        <v>538.0</v>
      </c>
      <c r="B539" s="6" t="str">
        <f>IFERROR(__xludf.DUMMYFUNCTION("""COMPUTED_VALUE"""),"Desainer Grafis Muda")</f>
        <v>Desainer Grafis Muda</v>
      </c>
      <c r="C539" s="6" t="str">
        <f>IFERROR(__xludf.DUMMYFUNCTION("""COMPUTED_VALUE"""),"SMK Negeri 1 Muna")</f>
        <v>SMK Negeri 1 Muna</v>
      </c>
      <c r="F539" s="6" t="str">
        <f>IFERROR(__xludf.DUMMYFUNCTION("""COMPUTED_VALUE"""),"AYUT OKTAVIA")</f>
        <v>AYUT OKTAVIA</v>
      </c>
      <c r="G539" s="6" t="str">
        <f>IFERROR(__xludf.DUMMYFUNCTION("""COMPUTED_VALUE"""),"7410015606980001")</f>
        <v>7410015606980001</v>
      </c>
      <c r="J539" s="7" t="str">
        <f>IFERROR(__xludf.DUMMYFUNCTION("""COMPUTED_VALUE"""),"PEREMPUAN")</f>
        <v>PEREMPUAN</v>
      </c>
      <c r="K539" s="6" t="str">
        <f>IFERROR(__xludf.DUMMYFUNCTION("""COMPUTED_VALUE"""),"Jl. Mawar")</f>
        <v>Jl. Mawar</v>
      </c>
      <c r="N539" s="8" t="s">
        <v>19</v>
      </c>
      <c r="R539" s="7" t="str">
        <f>IFERROR(__xludf.DUMMYFUNCTION("""COMPUTED_VALUE"""),"K")</f>
        <v>K</v>
      </c>
    </row>
    <row r="540" ht="22.5" customHeight="1">
      <c r="A540" s="6">
        <v>539.0</v>
      </c>
      <c r="B540" s="6" t="str">
        <f>IFERROR(__xludf.DUMMYFUNCTION("""COMPUTED_VALUE"""),"Desainer Grafis Muda")</f>
        <v>Desainer Grafis Muda</v>
      </c>
      <c r="C540" s="6" t="str">
        <f>IFERROR(__xludf.DUMMYFUNCTION("""COMPUTED_VALUE"""),"SMK Negeri 1 Muna")</f>
        <v>SMK Negeri 1 Muna</v>
      </c>
      <c r="F540" s="6" t="str">
        <f>IFERROR(__xludf.DUMMYFUNCTION("""COMPUTED_VALUE"""),"AZIZA NAHA’WAN")</f>
        <v>AZIZA NAHA’WAN</v>
      </c>
      <c r="G540" s="6" t="str">
        <f>IFERROR(__xludf.DUMMYFUNCTION("""COMPUTED_VALUE"""),"7403014306970001")</f>
        <v>7403014306970001</v>
      </c>
      <c r="J540" s="7" t="str">
        <f>IFERROR(__xludf.DUMMYFUNCTION("""COMPUTED_VALUE"""),"PEREMPUAN")</f>
        <v>PEREMPUAN</v>
      </c>
      <c r="K540" s="6" t="str">
        <f>IFERROR(__xludf.DUMMYFUNCTION("""COMPUTED_VALUE"""),"Desa Pajala")</f>
        <v>Desa Pajala</v>
      </c>
      <c r="N540" s="8" t="s">
        <v>19</v>
      </c>
      <c r="R540" s="7" t="str">
        <f>IFERROR(__xludf.DUMMYFUNCTION("""COMPUTED_VALUE"""),"K")</f>
        <v>K</v>
      </c>
    </row>
    <row r="541" ht="22.5" customHeight="1">
      <c r="A541" s="6">
        <v>540.0</v>
      </c>
      <c r="B541" s="6" t="str">
        <f>IFERROR(__xludf.DUMMYFUNCTION("""COMPUTED_VALUE"""),"Desainer Grafis Muda")</f>
        <v>Desainer Grafis Muda</v>
      </c>
      <c r="C541" s="6" t="str">
        <f>IFERROR(__xludf.DUMMYFUNCTION("""COMPUTED_VALUE"""),"SMK Negeri 1 Muna")</f>
        <v>SMK Negeri 1 Muna</v>
      </c>
      <c r="F541" s="6" t="str">
        <f>IFERROR(__xludf.DUMMYFUNCTION("""COMPUTED_VALUE"""),"YENI FITRIANA")</f>
        <v>YENI FITRIANA</v>
      </c>
      <c r="G541" s="6" t="str">
        <f>IFERROR(__xludf.DUMMYFUNCTION("""COMPUTED_VALUE"""),"7403096310960201")</f>
        <v>7403096310960201</v>
      </c>
      <c r="J541" s="7" t="str">
        <f>IFERROR(__xludf.DUMMYFUNCTION("""COMPUTED_VALUE"""),"PEREMPUAN")</f>
        <v>PEREMPUAN</v>
      </c>
      <c r="K541" s="6" t="str">
        <f>IFERROR(__xludf.DUMMYFUNCTION("""COMPUTED_VALUE"""),"Desa Labone")</f>
        <v>Desa Labone</v>
      </c>
      <c r="N541" s="8" t="s">
        <v>19</v>
      </c>
      <c r="R541" s="7" t="str">
        <f>IFERROR(__xludf.DUMMYFUNCTION("""COMPUTED_VALUE"""),"K")</f>
        <v>K</v>
      </c>
    </row>
    <row r="542" ht="22.5" customHeight="1">
      <c r="A542" s="6">
        <v>541.0</v>
      </c>
      <c r="B542" s="6" t="str">
        <f>IFERROR(__xludf.DUMMYFUNCTION("""COMPUTED_VALUE"""),"Desainer Grafis Muda")</f>
        <v>Desainer Grafis Muda</v>
      </c>
      <c r="C542" s="6" t="str">
        <f>IFERROR(__xludf.DUMMYFUNCTION("""COMPUTED_VALUE"""),"SMK Negeri 1 Muna")</f>
        <v>SMK Negeri 1 Muna</v>
      </c>
      <c r="F542" s="6" t="str">
        <f>IFERROR(__xludf.DUMMYFUNCTION("""COMPUTED_VALUE"""),"ANNISA AZZAHRA")</f>
        <v>ANNISA AZZAHRA</v>
      </c>
      <c r="G542" s="6">
        <f>IFERROR(__xludf.DUMMYFUNCTION("""COMPUTED_VALUE"""),8.17206210100004E14)</f>
        <v>817206210100004</v>
      </c>
      <c r="J542" s="7" t="str">
        <f>IFERROR(__xludf.DUMMYFUNCTION("""COMPUTED_VALUE"""),"LAKI-LAKI")</f>
        <v>LAKI-LAKI</v>
      </c>
      <c r="K542" s="6" t="str">
        <f>IFERROR(__xludf.DUMMYFUNCTION("""COMPUTED_VALUE"""),"Kel. Watonea, Kec. Katobu, Kab. Muna")</f>
        <v>Kel. Watonea, Kec. Katobu, Kab. Muna</v>
      </c>
      <c r="N542" s="8" t="s">
        <v>19</v>
      </c>
      <c r="R542" s="7" t="str">
        <f>IFERROR(__xludf.DUMMYFUNCTION("""COMPUTED_VALUE"""),"K")</f>
        <v>K</v>
      </c>
    </row>
    <row r="543" ht="22.5" customHeight="1">
      <c r="A543" s="6">
        <v>542.0</v>
      </c>
      <c r="B543" s="6" t="str">
        <f>IFERROR(__xludf.DUMMYFUNCTION("""COMPUTED_VALUE"""),"Desainer Grafis Muda")</f>
        <v>Desainer Grafis Muda</v>
      </c>
      <c r="C543" s="6" t="str">
        <f>IFERROR(__xludf.DUMMYFUNCTION("""COMPUTED_VALUE"""),"SMK Negeri 1 Muna")</f>
        <v>SMK Negeri 1 Muna</v>
      </c>
      <c r="F543" s="6" t="str">
        <f>IFERROR(__xludf.DUMMYFUNCTION("""COMPUTED_VALUE"""),"CLARA SAFIRA ASDAR")</f>
        <v>CLARA SAFIRA ASDAR</v>
      </c>
      <c r="G543" s="6" t="str">
        <f>IFERROR(__xludf.DUMMYFUNCTION("""COMPUTED_VALUE"""),"7403165901080001")</f>
        <v>7403165901080001</v>
      </c>
      <c r="J543" s="7" t="str">
        <f>IFERROR(__xludf.DUMMYFUNCTION("""COMPUTED_VALUE"""),"PEREMPUAN")</f>
        <v>PEREMPUAN</v>
      </c>
      <c r="K543" s="6" t="str">
        <f>IFERROR(__xludf.DUMMYFUNCTION("""COMPUTED_VALUE"""),"Jl. Delima")</f>
        <v>Jl. Delima</v>
      </c>
      <c r="N543" s="8" t="s">
        <v>19</v>
      </c>
      <c r="R543" s="7" t="str">
        <f>IFERROR(__xludf.DUMMYFUNCTION("""COMPUTED_VALUE"""),"K")</f>
        <v>K</v>
      </c>
    </row>
    <row r="544" ht="22.5" customHeight="1">
      <c r="A544" s="6">
        <v>543.0</v>
      </c>
      <c r="B544" s="6" t="str">
        <f>IFERROR(__xludf.DUMMYFUNCTION("""COMPUTED_VALUE"""),"Desainer Grafis Muda")</f>
        <v>Desainer Grafis Muda</v>
      </c>
      <c r="C544" s="6" t="str">
        <f>IFERROR(__xludf.DUMMYFUNCTION("""COMPUTED_VALUE"""),"SMK Negeri 1 Muna")</f>
        <v>SMK Negeri 1 Muna</v>
      </c>
      <c r="F544" s="6" t="str">
        <f>IFERROR(__xludf.DUMMYFUNCTION("""COMPUTED_VALUE"""),"DIMAS PRAMANA PUTRA")</f>
        <v>DIMAS PRAMANA PUTRA</v>
      </c>
      <c r="G544" s="6" t="str">
        <f>IFERROR(__xludf.DUMMYFUNCTION("""COMPUTED_VALUE"""),"7403270606060001")</f>
        <v>7403270606060001</v>
      </c>
      <c r="J544" s="7" t="str">
        <f>IFERROR(__xludf.DUMMYFUNCTION("""COMPUTED_VALUE"""),"LAKI-LAKI")</f>
        <v>LAKI-LAKI</v>
      </c>
      <c r="K544" s="6" t="str">
        <f>IFERROR(__xludf.DUMMYFUNCTION("""COMPUTED_VALUE"""),"Jalan BTN Anova UPC. Lasalepa")</f>
        <v>Jalan BTN Anova UPC. Lasalepa</v>
      </c>
      <c r="N544" s="8" t="s">
        <v>19</v>
      </c>
      <c r="R544" s="7" t="str">
        <f>IFERROR(__xludf.DUMMYFUNCTION("""COMPUTED_VALUE"""),"K")</f>
        <v>K</v>
      </c>
    </row>
    <row r="545" ht="22.5" customHeight="1">
      <c r="A545" s="6">
        <v>544.0</v>
      </c>
      <c r="B545" s="6" t="str">
        <f>IFERROR(__xludf.DUMMYFUNCTION("""COMPUTED_VALUE"""),"Desainer Grafis Muda")</f>
        <v>Desainer Grafis Muda</v>
      </c>
      <c r="C545" s="6" t="str">
        <f>IFERROR(__xludf.DUMMYFUNCTION("""COMPUTED_VALUE"""),"SMK Negeri 1 Muna")</f>
        <v>SMK Negeri 1 Muna</v>
      </c>
      <c r="F545" s="6" t="str">
        <f>IFERROR(__xludf.DUMMYFUNCTION("""COMPUTED_VALUE"""),"FATIMAH")</f>
        <v>FATIMAH</v>
      </c>
      <c r="G545" s="6" t="str">
        <f>IFERROR(__xludf.DUMMYFUNCTION("""COMPUTED_VALUE"""),"7403165706090001")</f>
        <v>7403165706090001</v>
      </c>
      <c r="J545" s="7" t="str">
        <f>IFERROR(__xludf.DUMMYFUNCTION("""COMPUTED_VALUE"""),"PEREMPUAN")</f>
        <v>PEREMPUAN</v>
      </c>
      <c r="K545" s="6" t="str">
        <f>IFERROR(__xludf.DUMMYFUNCTION("""COMPUTED_VALUE"""),"Jl. Sultan Syahrir")</f>
        <v>Jl. Sultan Syahrir</v>
      </c>
      <c r="N545" s="8" t="s">
        <v>19</v>
      </c>
      <c r="R545" s="7" t="str">
        <f>IFERROR(__xludf.DUMMYFUNCTION("""COMPUTED_VALUE"""),"K")</f>
        <v>K</v>
      </c>
    </row>
    <row r="546" ht="22.5" customHeight="1">
      <c r="A546" s="6">
        <v>545.0</v>
      </c>
      <c r="B546" s="6" t="str">
        <f>IFERROR(__xludf.DUMMYFUNCTION("""COMPUTED_VALUE"""),"Desainer Grafis Muda")</f>
        <v>Desainer Grafis Muda</v>
      </c>
      <c r="C546" s="6" t="str">
        <f>IFERROR(__xludf.DUMMYFUNCTION("""COMPUTED_VALUE"""),"SMK Negeri 1 Muna")</f>
        <v>SMK Negeri 1 Muna</v>
      </c>
      <c r="F546" s="6" t="str">
        <f>IFERROR(__xludf.DUMMYFUNCTION("""COMPUTED_VALUE"""),"IMELTIN")</f>
        <v>IMELTIN</v>
      </c>
      <c r="G546" s="6" t="str">
        <f>IFERROR(__xludf.DUMMYFUNCTION("""COMPUTED_VALUE"""),"7409044711070006")</f>
        <v>7409044711070006</v>
      </c>
      <c r="J546" s="7" t="str">
        <f>IFERROR(__xludf.DUMMYFUNCTION("""COMPUTED_VALUE"""),"PEREMPUAN")</f>
        <v>PEREMPUAN</v>
      </c>
      <c r="K546" s="6" t="str">
        <f>IFERROR(__xludf.DUMMYFUNCTION("""COMPUTED_VALUE"""),"Jl. Lumba-lumba")</f>
        <v>Jl. Lumba-lumba</v>
      </c>
      <c r="N546" s="8" t="s">
        <v>19</v>
      </c>
      <c r="R546" s="7" t="str">
        <f>IFERROR(__xludf.DUMMYFUNCTION("""COMPUTED_VALUE"""),"K")</f>
        <v>K</v>
      </c>
    </row>
    <row r="547" ht="22.5" customHeight="1">
      <c r="A547" s="6">
        <v>546.0</v>
      </c>
      <c r="B547" s="6" t="str">
        <f>IFERROR(__xludf.DUMMYFUNCTION("""COMPUTED_VALUE"""),"Desainer Grafis Muda")</f>
        <v>Desainer Grafis Muda</v>
      </c>
      <c r="C547" s="6" t="str">
        <f>IFERROR(__xludf.DUMMYFUNCTION("""COMPUTED_VALUE"""),"SMK Negeri 1 Muna")</f>
        <v>SMK Negeri 1 Muna</v>
      </c>
      <c r="F547" s="6" t="str">
        <f>IFERROR(__xludf.DUMMYFUNCTION("""COMPUTED_VALUE"""),"NUR ISNAINI")</f>
        <v>NUR ISNAINI</v>
      </c>
      <c r="G547" s="6" t="str">
        <f>IFERROR(__xludf.DUMMYFUNCTION("""COMPUTED_VALUE"""),"7403165004070001")</f>
        <v>7403165004070001</v>
      </c>
      <c r="J547" s="7" t="str">
        <f>IFERROR(__xludf.DUMMYFUNCTION("""COMPUTED_VALUE"""),"PEREMPUAN")</f>
        <v>PEREMPUAN</v>
      </c>
      <c r="K547" s="6" t="str">
        <f>IFERROR(__xludf.DUMMYFUNCTION("""COMPUTED_VALUE"""),"Jl. Pendidikan, Kec. Katobu Raha III")</f>
        <v>Jl. Pendidikan, Kec. Katobu Raha III</v>
      </c>
      <c r="N547" s="8" t="s">
        <v>19</v>
      </c>
      <c r="R547" s="7" t="str">
        <f>IFERROR(__xludf.DUMMYFUNCTION("""COMPUTED_VALUE"""),"K")</f>
        <v>K</v>
      </c>
    </row>
    <row r="548" ht="22.5" customHeight="1">
      <c r="A548" s="6">
        <v>547.0</v>
      </c>
      <c r="B548" s="6" t="str">
        <f>IFERROR(__xludf.DUMMYFUNCTION("""COMPUTED_VALUE"""),"Desainer Grafis Muda")</f>
        <v>Desainer Grafis Muda</v>
      </c>
      <c r="C548" s="6" t="str">
        <f>IFERROR(__xludf.DUMMYFUNCTION("""COMPUTED_VALUE"""),"SMK Negeri 1 Muna")</f>
        <v>SMK Negeri 1 Muna</v>
      </c>
      <c r="F548" s="6" t="str">
        <f>IFERROR(__xludf.DUMMYFUNCTION("""COMPUTED_VALUE"""),"RIKA ASRIANI RUSTAMI")</f>
        <v>RIKA ASRIANI RUSTAMI</v>
      </c>
      <c r="G548" s="6" t="str">
        <f>IFERROR(__xludf.DUMMYFUNCTION("""COMPUTED_VALUE"""),"7403115206080001")</f>
        <v>7403115206080001</v>
      </c>
      <c r="J548" s="7" t="str">
        <f>IFERROR(__xludf.DUMMYFUNCTION("""COMPUTED_VALUE"""),"PEREMPUAN")</f>
        <v>PEREMPUAN</v>
      </c>
      <c r="K548" s="6" t="str">
        <f>IFERROR(__xludf.DUMMYFUNCTION("""COMPUTED_VALUE"""),"Wamponiki")</f>
        <v>Wamponiki</v>
      </c>
      <c r="N548" s="8" t="s">
        <v>19</v>
      </c>
      <c r="R548" s="7" t="str">
        <f>IFERROR(__xludf.DUMMYFUNCTION("""COMPUTED_VALUE"""),"K")</f>
        <v>K</v>
      </c>
    </row>
    <row r="549" ht="22.5" customHeight="1">
      <c r="A549" s="6">
        <v>548.0</v>
      </c>
      <c r="B549" s="6" t="str">
        <f>IFERROR(__xludf.DUMMYFUNCTION("""COMPUTED_VALUE"""),"Desainer Grafis Muda")</f>
        <v>Desainer Grafis Muda</v>
      </c>
      <c r="C549" s="6" t="str">
        <f>IFERROR(__xludf.DUMMYFUNCTION("""COMPUTED_VALUE"""),"SMK Negeri 1 Muna")</f>
        <v>SMK Negeri 1 Muna</v>
      </c>
      <c r="F549" s="6" t="str">
        <f>IFERROR(__xludf.DUMMYFUNCTION("""COMPUTED_VALUE"""),"RUSMALIA KALAMBE")</f>
        <v>RUSMALIA KALAMBE</v>
      </c>
      <c r="G549" s="6" t="str">
        <f>IFERROR(__xludf.DUMMYFUNCTION("""COMPUTED_VALUE"""),"7403316601070001")</f>
        <v>7403316601070001</v>
      </c>
      <c r="J549" s="7" t="str">
        <f>IFERROR(__xludf.DUMMYFUNCTION("""COMPUTED_VALUE"""),"PEREMPUAN")</f>
        <v>PEREMPUAN</v>
      </c>
      <c r="K549" s="6" t="str">
        <f>IFERROR(__xludf.DUMMYFUNCTION("""COMPUTED_VALUE"""),"Desa Marobo, RT.2, RW.1, Kel. Marobo, Kec. Marobo")</f>
        <v>Desa Marobo, RT.2, RW.1, Kel. Marobo, Kec. Marobo</v>
      </c>
      <c r="N549" s="8" t="s">
        <v>19</v>
      </c>
      <c r="R549" s="7" t="str">
        <f>IFERROR(__xludf.DUMMYFUNCTION("""COMPUTED_VALUE"""),"K")</f>
        <v>K</v>
      </c>
    </row>
    <row r="550" ht="22.5" customHeight="1">
      <c r="A550" s="6">
        <v>549.0</v>
      </c>
      <c r="B550" s="6" t="str">
        <f>IFERROR(__xludf.DUMMYFUNCTION("""COMPUTED_VALUE"""),"Desainer Grafis Muda")</f>
        <v>Desainer Grafis Muda</v>
      </c>
      <c r="C550" s="6" t="str">
        <f>IFERROR(__xludf.DUMMYFUNCTION("""COMPUTED_VALUE"""),"SMK Negeri 1 Muna")</f>
        <v>SMK Negeri 1 Muna</v>
      </c>
      <c r="F550" s="6" t="str">
        <f>IFERROR(__xludf.DUMMYFUNCTION("""COMPUTED_VALUE"""),"SITI ANISYA ALMASFIRA MALONDA")</f>
        <v>SITI ANISYA ALMASFIRA MALONDA</v>
      </c>
      <c r="G550" s="6" t="str">
        <f>IFERROR(__xludf.DUMMYFUNCTION("""COMPUTED_VALUE"""),"7403155505080001")</f>
        <v>7403155505080001</v>
      </c>
      <c r="J550" s="7" t="str">
        <f>IFERROR(__xludf.DUMMYFUNCTION("""COMPUTED_VALUE"""),"PEREMPUAN")</f>
        <v>PEREMPUAN</v>
      </c>
      <c r="K550" s="6" t="str">
        <f>IFERROR(__xludf.DUMMYFUNCTION("""COMPUTED_VALUE"""),"Jl. Gatot Subroto")</f>
        <v>Jl. Gatot Subroto</v>
      </c>
      <c r="N550" s="8" t="s">
        <v>19</v>
      </c>
      <c r="R550" s="7" t="str">
        <f>IFERROR(__xludf.DUMMYFUNCTION("""COMPUTED_VALUE"""),"K")</f>
        <v>K</v>
      </c>
    </row>
    <row r="551" ht="22.5" customHeight="1">
      <c r="A551" s="6">
        <v>550.0</v>
      </c>
      <c r="B551" s="6" t="str">
        <f>IFERROR(__xludf.DUMMYFUNCTION("""COMPUTED_VALUE"""),"Desainer Grafis Muda")</f>
        <v>Desainer Grafis Muda</v>
      </c>
      <c r="C551" s="6" t="str">
        <f>IFERROR(__xludf.DUMMYFUNCTION("""COMPUTED_VALUE"""),"SMK Negeri 1 Muna")</f>
        <v>SMK Negeri 1 Muna</v>
      </c>
      <c r="F551" s="6" t="str">
        <f>IFERROR(__xludf.DUMMYFUNCTION("""COMPUTED_VALUE"""),"SITI SALNI")</f>
        <v>SITI SALNI</v>
      </c>
      <c r="G551" s="6" t="str">
        <f>IFERROR(__xludf.DUMMYFUNCTION("""COMPUTED_VALUE"""),"7403156007020201")</f>
        <v>7403156007020201</v>
      </c>
      <c r="J551" s="7" t="str">
        <f>IFERROR(__xludf.DUMMYFUNCTION("""COMPUTED_VALUE"""),"PEREMPUAN")</f>
        <v>PEREMPUAN</v>
      </c>
      <c r="K551" s="6" t="str">
        <f>IFERROR(__xludf.DUMMYFUNCTION("""COMPUTED_VALUE"""),"Masalili Kec Kontunaga")</f>
        <v>Masalili Kec Kontunaga</v>
      </c>
      <c r="N551" s="8" t="s">
        <v>19</v>
      </c>
      <c r="R551" s="7" t="str">
        <f>IFERROR(__xludf.DUMMYFUNCTION("""COMPUTED_VALUE"""),"K")</f>
        <v>K</v>
      </c>
    </row>
    <row r="552" ht="22.5" customHeight="1">
      <c r="A552" s="6">
        <v>551.0</v>
      </c>
      <c r="B552" s="6" t="str">
        <f>IFERROR(__xludf.DUMMYFUNCTION("""COMPUTED_VALUE"""),"Desainer Grafis Muda")</f>
        <v>Desainer Grafis Muda</v>
      </c>
      <c r="C552" s="6" t="str">
        <f>IFERROR(__xludf.DUMMYFUNCTION("""COMPUTED_VALUE"""),"SMK Negeri 1 Muna")</f>
        <v>SMK Negeri 1 Muna</v>
      </c>
      <c r="F552" s="6" t="str">
        <f>IFERROR(__xludf.DUMMYFUNCTION("""COMPUTED_VALUE"""),"SUCI FEBRIANTI")</f>
        <v>SUCI FEBRIANTI</v>
      </c>
      <c r="G552" s="6" t="str">
        <f>IFERROR(__xludf.DUMMYFUNCTION("""COMPUTED_VALUE"""),"7403166102080001")</f>
        <v>7403166102080001</v>
      </c>
      <c r="J552" s="7" t="str">
        <f>IFERROR(__xludf.DUMMYFUNCTION("""COMPUTED_VALUE"""),"PEREMPUAN")</f>
        <v>PEREMPUAN</v>
      </c>
      <c r="K552" s="6" t="str">
        <f>IFERROR(__xludf.DUMMYFUNCTION("""COMPUTED_VALUE"""),"Jl. Baypass Wamponiki Pantai")</f>
        <v>Jl. Baypass Wamponiki Pantai</v>
      </c>
      <c r="N552" s="8" t="s">
        <v>19</v>
      </c>
      <c r="R552" s="7" t="str">
        <f>IFERROR(__xludf.DUMMYFUNCTION("""COMPUTED_VALUE"""),"K")</f>
        <v>K</v>
      </c>
    </row>
    <row r="553" ht="22.5" customHeight="1">
      <c r="A553" s="6">
        <v>552.0</v>
      </c>
      <c r="B553" s="6" t="str">
        <f>IFERROR(__xludf.DUMMYFUNCTION("""COMPUTED_VALUE"""),"Desainer Grafis Muda")</f>
        <v>Desainer Grafis Muda</v>
      </c>
      <c r="C553" s="6" t="str">
        <f>IFERROR(__xludf.DUMMYFUNCTION("""COMPUTED_VALUE"""),"SMK Negeri 1 Muna")</f>
        <v>SMK Negeri 1 Muna</v>
      </c>
      <c r="F553" s="6" t="str">
        <f>IFERROR(__xludf.DUMMYFUNCTION("""COMPUTED_VALUE"""),"SYAHRIYAH")</f>
        <v>SYAHRIYAH</v>
      </c>
      <c r="G553" s="6" t="str">
        <f>IFERROR(__xludf.DUMMYFUNCTION("""COMPUTED_VALUE"""),"7403124510080001")</f>
        <v>7403124510080001</v>
      </c>
      <c r="J553" s="7" t="str">
        <f>IFERROR(__xludf.DUMMYFUNCTION("""COMPUTED_VALUE"""),"PEREMPUAN")</f>
        <v>PEREMPUAN</v>
      </c>
      <c r="K553" s="6" t="str">
        <f>IFERROR(__xludf.DUMMYFUNCTION("""COMPUTED_VALUE"""),"Jln. Soekarno")</f>
        <v>Jln. Soekarno</v>
      </c>
      <c r="N553" s="8" t="s">
        <v>19</v>
      </c>
      <c r="R553" s="7" t="str">
        <f>IFERROR(__xludf.DUMMYFUNCTION("""COMPUTED_VALUE"""),"K")</f>
        <v>K</v>
      </c>
    </row>
    <row r="554" ht="22.5" customHeight="1">
      <c r="A554" s="6">
        <v>553.0</v>
      </c>
      <c r="B554" s="6" t="str">
        <f>IFERROR(__xludf.DUMMYFUNCTION("""COMPUTED_VALUE"""),"Desainer Grafis Muda")</f>
        <v>Desainer Grafis Muda</v>
      </c>
      <c r="C554" s="6" t="str">
        <f>IFERROR(__xludf.DUMMYFUNCTION("""COMPUTED_VALUE"""),"SMK Negeri 1 Muna")</f>
        <v>SMK Negeri 1 Muna</v>
      </c>
      <c r="F554" s="6" t="str">
        <f>IFERROR(__xludf.DUMMYFUNCTION("""COMPUTED_VALUE"""),"VICKY DWI RAMADHAN")</f>
        <v>VICKY DWI RAMADHAN</v>
      </c>
      <c r="G554" s="6" t="str">
        <f>IFERROR(__xludf.DUMMYFUNCTION("""COMPUTED_VALUE"""),"7403120210080001")</f>
        <v>7403120210080001</v>
      </c>
      <c r="J554" s="7" t="str">
        <f>IFERROR(__xludf.DUMMYFUNCTION("""COMPUTED_VALUE"""),"LAKI-LAKI")</f>
        <v>LAKI-LAKI</v>
      </c>
      <c r="K554" s="6" t="str">
        <f>IFERROR(__xludf.DUMMYFUNCTION("""COMPUTED_VALUE"""),"Palangga, Jl. Sutan Syahrir")</f>
        <v>Palangga, Jl. Sutan Syahrir</v>
      </c>
      <c r="N554" s="8" t="s">
        <v>19</v>
      </c>
      <c r="R554" s="7" t="str">
        <f>IFERROR(__xludf.DUMMYFUNCTION("""COMPUTED_VALUE"""),"K")</f>
        <v>K</v>
      </c>
    </row>
    <row r="555" ht="22.5" customHeight="1">
      <c r="A555" s="6">
        <v>554.0</v>
      </c>
      <c r="B555" s="6" t="str">
        <f>IFERROR(__xludf.DUMMYFUNCTION("""COMPUTED_VALUE"""),"Desainer Grafis Muda")</f>
        <v>Desainer Grafis Muda</v>
      </c>
      <c r="C555" s="6" t="str">
        <f>IFERROR(__xludf.DUMMYFUNCTION("""COMPUTED_VALUE"""),"SMK Negeri 1 Muna")</f>
        <v>SMK Negeri 1 Muna</v>
      </c>
      <c r="F555" s="6" t="str">
        <f>IFERROR(__xludf.DUMMYFUNCTION("""COMPUTED_VALUE"""),"WAODE MURNI")</f>
        <v>WAODE MURNI</v>
      </c>
      <c r="G555" s="6" t="str">
        <f>IFERROR(__xludf.DUMMYFUNCTION("""COMPUTED_VALUE"""),"7403174711070001")</f>
        <v>7403174711070001</v>
      </c>
      <c r="J555" s="7" t="str">
        <f>IFERROR(__xludf.DUMMYFUNCTION("""COMPUTED_VALUE"""),"PEREMPUAN")</f>
        <v>PEREMPUAN</v>
      </c>
      <c r="K555" s="6" t="str">
        <f>IFERROR(__xludf.DUMMYFUNCTION("""COMPUTED_VALUE"""),"Jln. Ir. Soekarno Ghonsume, Kec. Puruka")</f>
        <v>Jln. Ir. Soekarno Ghonsume, Kec. Puruka</v>
      </c>
      <c r="N555" s="8" t="s">
        <v>19</v>
      </c>
      <c r="R555" s="7" t="str">
        <f>IFERROR(__xludf.DUMMYFUNCTION("""COMPUTED_VALUE"""),"K")</f>
        <v>K</v>
      </c>
    </row>
    <row r="556" ht="22.5" customHeight="1">
      <c r="A556" s="6">
        <v>555.0</v>
      </c>
      <c r="B556" s="6" t="str">
        <f>IFERROR(__xludf.DUMMYFUNCTION("""COMPUTED_VALUE"""),"Desainer Grafis Muda")</f>
        <v>Desainer Grafis Muda</v>
      </c>
      <c r="C556" s="6" t="str">
        <f>IFERROR(__xludf.DUMMYFUNCTION("""COMPUTED_VALUE"""),"SMK Negeri 1 Muna")</f>
        <v>SMK Negeri 1 Muna</v>
      </c>
      <c r="F556" s="6" t="str">
        <f>IFERROR(__xludf.DUMMYFUNCTION("""COMPUTED_VALUE"""),"ASLAN")</f>
        <v>ASLAN</v>
      </c>
      <c r="G556" s="6" t="str">
        <f>IFERROR(__xludf.DUMMYFUNCTION("""COMPUTED_VALUE"""),"7403101502060501")</f>
        <v>7403101502060501</v>
      </c>
      <c r="J556" s="7" t="str">
        <f>IFERROR(__xludf.DUMMYFUNCTION("""COMPUTED_VALUE"""),"LAKI-LAKI")</f>
        <v>LAKI-LAKI</v>
      </c>
      <c r="K556" s="6" t="str">
        <f>IFERROR(__xludf.DUMMYFUNCTION("""COMPUTED_VALUE"""),"Mabodo, Kec. Kontunaga")</f>
        <v>Mabodo, Kec. Kontunaga</v>
      </c>
      <c r="N556" s="8" t="s">
        <v>19</v>
      </c>
      <c r="R556" s="7" t="str">
        <f>IFERROR(__xludf.DUMMYFUNCTION("""COMPUTED_VALUE"""),"K")</f>
        <v>K</v>
      </c>
    </row>
    <row r="557" ht="22.5" customHeight="1">
      <c r="A557" s="6">
        <v>556.0</v>
      </c>
      <c r="B557" s="6" t="str">
        <f>IFERROR(__xludf.DUMMYFUNCTION("""COMPUTED_VALUE"""),"Desainer Grafis Muda")</f>
        <v>Desainer Grafis Muda</v>
      </c>
      <c r="C557" s="6" t="str">
        <f>IFERROR(__xludf.DUMMYFUNCTION("""COMPUTED_VALUE"""),"SMK Negeri 1 Muna")</f>
        <v>SMK Negeri 1 Muna</v>
      </c>
      <c r="F557" s="6" t="str">
        <f>IFERROR(__xludf.DUMMYFUNCTION("""COMPUTED_VALUE"""),"FACHRY ANGGARA")</f>
        <v>FACHRY ANGGARA</v>
      </c>
      <c r="G557" s="6" t="str">
        <f>IFERROR(__xludf.DUMMYFUNCTION("""COMPUTED_VALUE"""),"7403150101060202")</f>
        <v>7403150101060202</v>
      </c>
      <c r="J557" s="7" t="str">
        <f>IFERROR(__xludf.DUMMYFUNCTION("""COMPUTED_VALUE"""),"LAKI-LAKI")</f>
        <v>LAKI-LAKI</v>
      </c>
      <c r="K557" s="6" t="str">
        <f>IFERROR(__xludf.DUMMYFUNCTION("""COMPUTED_VALUE"""),"Jln. Basuki Rahmat")</f>
        <v>Jln. Basuki Rahmat</v>
      </c>
      <c r="N557" s="8" t="s">
        <v>19</v>
      </c>
      <c r="R557" s="7" t="str">
        <f>IFERROR(__xludf.DUMMYFUNCTION("""COMPUTED_VALUE"""),"K")</f>
        <v>K</v>
      </c>
    </row>
    <row r="558" ht="22.5" customHeight="1">
      <c r="A558" s="6">
        <v>557.0</v>
      </c>
      <c r="B558" s="6" t="str">
        <f>IFERROR(__xludf.DUMMYFUNCTION("""COMPUTED_VALUE"""),"Pemeliharaan Kendaraan Ringan Sistem Injeksi")</f>
        <v>Pemeliharaan Kendaraan Ringan Sistem Injeksi</v>
      </c>
      <c r="C558" s="6" t="str">
        <f>IFERROR(__xludf.DUMMYFUNCTION("""COMPUTED_VALUE"""),"SMK Negeri 2 Konawe")</f>
        <v>SMK Negeri 2 Konawe</v>
      </c>
      <c r="F558" s="6" t="str">
        <f>IFERROR(__xludf.DUMMYFUNCTION("""COMPUTED_VALUE"""),"AFDILAH ARSYA SAPUTRA")</f>
        <v>AFDILAH ARSYA SAPUTRA</v>
      </c>
      <c r="G558" s="6" t="str">
        <f>IFERROR(__xludf.DUMMYFUNCTION("""COMPUTED_VALUE"""),"7402151502090002")</f>
        <v>7402151502090002</v>
      </c>
      <c r="J558" s="7" t="str">
        <f>IFERROR(__xludf.DUMMYFUNCTION("""COMPUTED_VALUE"""),"LAKI-LAKI")</f>
        <v>LAKI-LAKI</v>
      </c>
      <c r="K558" s="6" t="str">
        <f>IFERROR(__xludf.DUMMYFUNCTION("""COMPUTED_VALUE"""),"Sendang Mulya Sari")</f>
        <v>Sendang Mulya Sari</v>
      </c>
      <c r="N558" s="8" t="s">
        <v>19</v>
      </c>
      <c r="R558" s="7" t="str">
        <f>IFERROR(__xludf.DUMMYFUNCTION("""COMPUTED_VALUE"""),"K")</f>
        <v>K</v>
      </c>
    </row>
    <row r="559" ht="22.5" customHeight="1">
      <c r="A559" s="6">
        <v>558.0</v>
      </c>
      <c r="B559" s="6" t="str">
        <f>IFERROR(__xludf.DUMMYFUNCTION("""COMPUTED_VALUE"""),"Pemeliharaan Kendaraan Ringan Sistem Injeksi")</f>
        <v>Pemeliharaan Kendaraan Ringan Sistem Injeksi</v>
      </c>
      <c r="C559" s="6" t="str">
        <f>IFERROR(__xludf.DUMMYFUNCTION("""COMPUTED_VALUE"""),"SMK Negeri 2 Konawe")</f>
        <v>SMK Negeri 2 Konawe</v>
      </c>
      <c r="F559" s="6" t="str">
        <f>IFERROR(__xludf.DUMMYFUNCTION("""COMPUTED_VALUE"""),"ALFIN ARDIANZAH")</f>
        <v>ALFIN ARDIANZAH</v>
      </c>
      <c r="G559" s="6" t="str">
        <f>IFERROR(__xludf.DUMMYFUNCTION("""COMPUTED_VALUE"""),"7402152206080001")</f>
        <v>7402152206080001</v>
      </c>
      <c r="J559" s="7" t="str">
        <f>IFERROR(__xludf.DUMMYFUNCTION("""COMPUTED_VALUE"""),"LAKI-LAKI")</f>
        <v>LAKI-LAKI</v>
      </c>
      <c r="K559" s="6" t="str">
        <f>IFERROR(__xludf.DUMMYFUNCTION("""COMPUTED_VALUE"""),"-")</f>
        <v>-</v>
      </c>
      <c r="N559" s="8" t="s">
        <v>19</v>
      </c>
      <c r="R559" s="7" t="str">
        <f>IFERROR(__xludf.DUMMYFUNCTION("""COMPUTED_VALUE"""),"K")</f>
        <v>K</v>
      </c>
    </row>
    <row r="560" ht="22.5" customHeight="1">
      <c r="A560" s="6">
        <v>559.0</v>
      </c>
      <c r="B560" s="6" t="str">
        <f>IFERROR(__xludf.DUMMYFUNCTION("""COMPUTED_VALUE"""),"Pemeliharaan Kendaraan Ringan Sistem Injeksi")</f>
        <v>Pemeliharaan Kendaraan Ringan Sistem Injeksi</v>
      </c>
      <c r="C560" s="6" t="str">
        <f>IFERROR(__xludf.DUMMYFUNCTION("""COMPUTED_VALUE"""),"SMK Negeri 2 Konawe")</f>
        <v>SMK Negeri 2 Konawe</v>
      </c>
      <c r="F560" s="6" t="str">
        <f>IFERROR(__xludf.DUMMYFUNCTION("""COMPUTED_VALUE"""),"ALVONSIUS TRY YURIS")</f>
        <v>ALVONSIUS TRY YURIS</v>
      </c>
      <c r="G560" s="6" t="str">
        <f>IFERROR(__xludf.DUMMYFUNCTION("""COMPUTED_VALUE"""),"7402021307080004")</f>
        <v>7402021307080004</v>
      </c>
      <c r="J560" s="7" t="str">
        <f>IFERROR(__xludf.DUMMYFUNCTION("""COMPUTED_VALUE"""),"LAKI-LAKI")</f>
        <v>LAKI-LAKI</v>
      </c>
      <c r="K560" s="6" t="str">
        <f>IFERROR(__xludf.DUMMYFUNCTION("""COMPUTED_VALUE"""),"Tumpas, Unaaha, Konawe")</f>
        <v>Tumpas, Unaaha, Konawe</v>
      </c>
      <c r="N560" s="8" t="s">
        <v>19</v>
      </c>
      <c r="R560" s="7" t="str">
        <f>IFERROR(__xludf.DUMMYFUNCTION("""COMPUTED_VALUE"""),"K")</f>
        <v>K</v>
      </c>
    </row>
    <row r="561" ht="22.5" customHeight="1">
      <c r="A561" s="6">
        <v>560.0</v>
      </c>
      <c r="B561" s="6" t="str">
        <f>IFERROR(__xludf.DUMMYFUNCTION("""COMPUTED_VALUE"""),"Pemeliharaan Kendaraan Ringan Sistem Injeksi")</f>
        <v>Pemeliharaan Kendaraan Ringan Sistem Injeksi</v>
      </c>
      <c r="C561" s="6" t="str">
        <f>IFERROR(__xludf.DUMMYFUNCTION("""COMPUTED_VALUE"""),"SMK Negeri 2 Konawe")</f>
        <v>SMK Negeri 2 Konawe</v>
      </c>
      <c r="F561" s="6" t="str">
        <f>IFERROR(__xludf.DUMMYFUNCTION("""COMPUTED_VALUE"""),"ANTONIUS ALFIAN")</f>
        <v>ANTONIUS ALFIAN</v>
      </c>
      <c r="G561" s="6" t="str">
        <f>IFERROR(__xludf.DUMMYFUNCTION("""COMPUTED_VALUE"""),"7402152802080001")</f>
        <v>7402152802080001</v>
      </c>
      <c r="J561" s="7" t="str">
        <f>IFERROR(__xludf.DUMMYFUNCTION("""COMPUTED_VALUE"""),"LAKI-LAKI")</f>
        <v>LAKI-LAKI</v>
      </c>
      <c r="K561" s="6" t="str">
        <f>IFERROR(__xludf.DUMMYFUNCTION("""COMPUTED_VALUE"""),"Sendang Mulya Sari")</f>
        <v>Sendang Mulya Sari</v>
      </c>
      <c r="N561" s="8" t="s">
        <v>19</v>
      </c>
      <c r="R561" s="7" t="str">
        <f>IFERROR(__xludf.DUMMYFUNCTION("""COMPUTED_VALUE"""),"K")</f>
        <v>K</v>
      </c>
    </row>
    <row r="562" ht="22.5" customHeight="1">
      <c r="A562" s="6">
        <v>561.0</v>
      </c>
      <c r="B562" s="6" t="str">
        <f>IFERROR(__xludf.DUMMYFUNCTION("""COMPUTED_VALUE"""),"Pemeliharaan Kendaraan Ringan Sistem Injeksi")</f>
        <v>Pemeliharaan Kendaraan Ringan Sistem Injeksi</v>
      </c>
      <c r="C562" s="6" t="str">
        <f>IFERROR(__xludf.DUMMYFUNCTION("""COMPUTED_VALUE"""),"SMK Negeri 2 Konawe")</f>
        <v>SMK Negeri 2 Konawe</v>
      </c>
      <c r="F562" s="6" t="str">
        <f>IFERROR(__xludf.DUMMYFUNCTION("""COMPUTED_VALUE"""),"ARDIAN MUHLISIN")</f>
        <v>ARDIAN MUHLISIN</v>
      </c>
      <c r="G562" s="6" t="str">
        <f>IFERROR(__xludf.DUMMYFUNCTION("""COMPUTED_VALUE"""),"7402151205080001")</f>
        <v>7402151205080001</v>
      </c>
      <c r="J562" s="7" t="str">
        <f>IFERROR(__xludf.DUMMYFUNCTION("""COMPUTED_VALUE"""),"LAKI-LAKI")</f>
        <v>LAKI-LAKI</v>
      </c>
      <c r="K562" s="6" t="str">
        <f>IFERROR(__xludf.DUMMYFUNCTION("""COMPUTED_VALUE"""),"Anggohu")</f>
        <v>Anggohu</v>
      </c>
      <c r="N562" s="8" t="s">
        <v>19</v>
      </c>
      <c r="R562" s="7" t="str">
        <f>IFERROR(__xludf.DUMMYFUNCTION("""COMPUTED_VALUE"""),"K")</f>
        <v>K</v>
      </c>
    </row>
    <row r="563" ht="22.5" customHeight="1">
      <c r="A563" s="6">
        <v>562.0</v>
      </c>
      <c r="B563" s="6" t="str">
        <f>IFERROR(__xludf.DUMMYFUNCTION("""COMPUTED_VALUE"""),"Pemeliharaan Kendaraan Ringan Sistem Injeksi")</f>
        <v>Pemeliharaan Kendaraan Ringan Sistem Injeksi</v>
      </c>
      <c r="C563" s="6" t="str">
        <f>IFERROR(__xludf.DUMMYFUNCTION("""COMPUTED_VALUE"""),"SMK Negeri 2 Konawe")</f>
        <v>SMK Negeri 2 Konawe</v>
      </c>
      <c r="F563" s="6" t="str">
        <f>IFERROR(__xludf.DUMMYFUNCTION("""COMPUTED_VALUE"""),"ARIA")</f>
        <v>ARIA</v>
      </c>
      <c r="G563" s="6" t="str">
        <f>IFERROR(__xludf.DUMMYFUNCTION("""COMPUTED_VALUE"""),"7402230212060001")</f>
        <v>7402230212060001</v>
      </c>
      <c r="J563" s="7" t="str">
        <f>IFERROR(__xludf.DUMMYFUNCTION("""COMPUTED_VALUE"""),"LAKI-LAKI")</f>
        <v>LAKI-LAKI</v>
      </c>
      <c r="K563" s="6" t="str">
        <f>IFERROR(__xludf.DUMMYFUNCTION("""COMPUTED_VALUE"""),"Lalosabiia, Kec. Unaaha, Kab. Konawe")</f>
        <v>Lalosabiia, Kec. Unaaha, Kab. Konawe</v>
      </c>
      <c r="N563" s="8" t="s">
        <v>19</v>
      </c>
      <c r="R563" s="7" t="str">
        <f>IFERROR(__xludf.DUMMYFUNCTION("""COMPUTED_VALUE"""),"K")</f>
        <v>K</v>
      </c>
    </row>
    <row r="564" ht="22.5" customHeight="1">
      <c r="A564" s="6">
        <v>563.0</v>
      </c>
      <c r="B564" s="6" t="str">
        <f>IFERROR(__xludf.DUMMYFUNCTION("""COMPUTED_VALUE"""),"Pemeliharaan Kendaraan Ringan Sistem Injeksi")</f>
        <v>Pemeliharaan Kendaraan Ringan Sistem Injeksi</v>
      </c>
      <c r="C564" s="6" t="str">
        <f>IFERROR(__xludf.DUMMYFUNCTION("""COMPUTED_VALUE"""),"SMK Negeri 2 Konawe")</f>
        <v>SMK Negeri 2 Konawe</v>
      </c>
      <c r="F564" s="6" t="str">
        <f>IFERROR(__xludf.DUMMYFUNCTION("""COMPUTED_VALUE"""),"ARSENDI AL-FARIZZI")</f>
        <v>ARSENDI AL-FARIZZI</v>
      </c>
      <c r="G564" s="6" t="str">
        <f>IFERROR(__xludf.DUMMYFUNCTION("""COMPUTED_VALUE"""),"7402153112080002")</f>
        <v>7402153112080002</v>
      </c>
      <c r="J564" s="7" t="str">
        <f>IFERROR(__xludf.DUMMYFUNCTION("""COMPUTED_VALUE"""),"LAKI-LAKI")</f>
        <v>LAKI-LAKI</v>
      </c>
      <c r="K564" s="6" t="str">
        <f>IFERROR(__xludf.DUMMYFUNCTION("""COMPUTED_VALUE"""),"Sendang Mulya Sari")</f>
        <v>Sendang Mulya Sari</v>
      </c>
      <c r="N564" s="8" t="s">
        <v>19</v>
      </c>
      <c r="R564" s="7" t="str">
        <f>IFERROR(__xludf.DUMMYFUNCTION("""COMPUTED_VALUE"""),"K")</f>
        <v>K</v>
      </c>
    </row>
    <row r="565" ht="22.5" customHeight="1">
      <c r="A565" s="6">
        <v>564.0</v>
      </c>
      <c r="B565" s="6" t="str">
        <f>IFERROR(__xludf.DUMMYFUNCTION("""COMPUTED_VALUE"""),"Pemeliharaan Kendaraan Ringan Sistem Injeksi")</f>
        <v>Pemeliharaan Kendaraan Ringan Sistem Injeksi</v>
      </c>
      <c r="C565" s="6" t="str">
        <f>IFERROR(__xludf.DUMMYFUNCTION("""COMPUTED_VALUE"""),"SMK Negeri 2 Konawe")</f>
        <v>SMK Negeri 2 Konawe</v>
      </c>
      <c r="F565" s="6" t="str">
        <f>IFERROR(__xludf.DUMMYFUNCTION("""COMPUTED_VALUE"""),"DIKA AFRIAN")</f>
        <v>DIKA AFRIAN</v>
      </c>
      <c r="G565" s="6" t="str">
        <f>IFERROR(__xludf.DUMMYFUNCTION("""COMPUTED_VALUE"""),"7402280604080002")</f>
        <v>7402280604080002</v>
      </c>
      <c r="J565" s="7" t="str">
        <f>IFERROR(__xludf.DUMMYFUNCTION("""COMPUTED_VALUE"""),"LAKI-LAKI")</f>
        <v>LAKI-LAKI</v>
      </c>
      <c r="K565" s="6" t="str">
        <f>IFERROR(__xludf.DUMMYFUNCTION("""COMPUTED_VALUE"""),"Desa Lalomboonda")</f>
        <v>Desa Lalomboonda</v>
      </c>
      <c r="N565" s="8" t="s">
        <v>19</v>
      </c>
      <c r="R565" s="7" t="str">
        <f>IFERROR(__xludf.DUMMYFUNCTION("""COMPUTED_VALUE"""),"K")</f>
        <v>K</v>
      </c>
    </row>
    <row r="566" ht="22.5" customHeight="1">
      <c r="A566" s="6">
        <v>565.0</v>
      </c>
      <c r="B566" s="6" t="str">
        <f>IFERROR(__xludf.DUMMYFUNCTION("""COMPUTED_VALUE"""),"Pemeliharaan Kendaraan Ringan Sistem Injeksi")</f>
        <v>Pemeliharaan Kendaraan Ringan Sistem Injeksi</v>
      </c>
      <c r="C566" s="6" t="str">
        <f>IFERROR(__xludf.DUMMYFUNCTION("""COMPUTED_VALUE"""),"SMK Negeri 2 Konawe")</f>
        <v>SMK Negeri 2 Konawe</v>
      </c>
      <c r="F566" s="6" t="str">
        <f>IFERROR(__xludf.DUMMYFUNCTION("""COMPUTED_VALUE"""),"DIKKY PRASETYO")</f>
        <v>DIKKY PRASETYO</v>
      </c>
      <c r="G566" s="6" t="str">
        <f>IFERROR(__xludf.DUMMYFUNCTION("""COMPUTED_VALUE"""),"6105012412070006")</f>
        <v>6105012412070006</v>
      </c>
      <c r="J566" s="7" t="str">
        <f>IFERROR(__xludf.DUMMYFUNCTION("""COMPUTED_VALUE"""),"LAKI-LAKI")</f>
        <v>LAKI-LAKI</v>
      </c>
      <c r="K566" s="6" t="str">
        <f>IFERROR(__xludf.DUMMYFUNCTION("""COMPUTED_VALUE"""),"Mataiwoi, Andowia, Konawe Utara")</f>
        <v>Mataiwoi, Andowia, Konawe Utara</v>
      </c>
      <c r="N566" s="8" t="s">
        <v>19</v>
      </c>
      <c r="R566" s="7" t="str">
        <f>IFERROR(__xludf.DUMMYFUNCTION("""COMPUTED_VALUE"""),"K")</f>
        <v>K</v>
      </c>
    </row>
    <row r="567" ht="22.5" customHeight="1">
      <c r="A567" s="6">
        <v>566.0</v>
      </c>
      <c r="B567" s="6" t="str">
        <f>IFERROR(__xludf.DUMMYFUNCTION("""COMPUTED_VALUE"""),"Pemeliharaan Kendaraan Ringan Sistem Injeksi")</f>
        <v>Pemeliharaan Kendaraan Ringan Sistem Injeksi</v>
      </c>
      <c r="C567" s="6" t="str">
        <f>IFERROR(__xludf.DUMMYFUNCTION("""COMPUTED_VALUE"""),"SMK Negeri 2 Konawe")</f>
        <v>SMK Negeri 2 Konawe</v>
      </c>
      <c r="F567" s="6" t="str">
        <f>IFERROR(__xludf.DUMMYFUNCTION("""COMPUTED_VALUE"""),"FAHMI AKBAR")</f>
        <v>FAHMI AKBAR</v>
      </c>
      <c r="G567" s="6" t="str">
        <f>IFERROR(__xludf.DUMMYFUNCTION("""COMPUTED_VALUE"""),"7405117112070001")</f>
        <v>7405117112070001</v>
      </c>
      <c r="J567" s="7" t="str">
        <f>IFERROR(__xludf.DUMMYFUNCTION("""COMPUTED_VALUE"""),"PEREMPUAN")</f>
        <v>PEREMPUAN</v>
      </c>
      <c r="K567" s="6" t="str">
        <f>IFERROR(__xludf.DUMMYFUNCTION("""COMPUTED_VALUE"""),"Limbuara")</f>
        <v>Limbuara</v>
      </c>
      <c r="N567" s="8" t="s">
        <v>19</v>
      </c>
      <c r="R567" s="7" t="str">
        <f>IFERROR(__xludf.DUMMYFUNCTION("""COMPUTED_VALUE"""),"K")</f>
        <v>K</v>
      </c>
    </row>
    <row r="568" ht="22.5" customHeight="1">
      <c r="A568" s="6">
        <v>567.0</v>
      </c>
      <c r="B568" s="6" t="str">
        <f>IFERROR(__xludf.DUMMYFUNCTION("""COMPUTED_VALUE"""),"Pemeliharaan Kendaraan Ringan Sistem Injeksi")</f>
        <v>Pemeliharaan Kendaraan Ringan Sistem Injeksi</v>
      </c>
      <c r="C568" s="6" t="str">
        <f>IFERROR(__xludf.DUMMYFUNCTION("""COMPUTED_VALUE"""),"SMK Negeri 2 Konawe")</f>
        <v>SMK Negeri 2 Konawe</v>
      </c>
      <c r="F568" s="6" t="str">
        <f>IFERROR(__xludf.DUMMYFUNCTION("""COMPUTED_VALUE"""),"I GUSTI NGURAH OKO SUARDANA")</f>
        <v>I GUSTI NGURAH OKO SUARDANA</v>
      </c>
      <c r="G568" s="6" t="str">
        <f>IFERROR(__xludf.DUMMYFUNCTION("""COMPUTED_VALUE"""),"7402152005080001")</f>
        <v>7402152005080001</v>
      </c>
      <c r="J568" s="7" t="str">
        <f>IFERROR(__xludf.DUMMYFUNCTION("""COMPUTED_VALUE"""),"LAKI-LAKI")</f>
        <v>LAKI-LAKI</v>
      </c>
      <c r="K568" s="6" t="str">
        <f>IFERROR(__xludf.DUMMYFUNCTION("""COMPUTED_VALUE"""),"Sendang Mulya Sari")</f>
        <v>Sendang Mulya Sari</v>
      </c>
      <c r="N568" s="8" t="s">
        <v>19</v>
      </c>
      <c r="R568" s="7" t="str">
        <f>IFERROR(__xludf.DUMMYFUNCTION("""COMPUTED_VALUE"""),"K")</f>
        <v>K</v>
      </c>
    </row>
    <row r="569" ht="22.5" customHeight="1">
      <c r="A569" s="6">
        <v>568.0</v>
      </c>
      <c r="B569" s="6" t="str">
        <f>IFERROR(__xludf.DUMMYFUNCTION("""COMPUTED_VALUE"""),"Pemeliharaan Kendaraan Ringan Sistem Injeksi")</f>
        <v>Pemeliharaan Kendaraan Ringan Sistem Injeksi</v>
      </c>
      <c r="C569" s="6" t="str">
        <f>IFERROR(__xludf.DUMMYFUNCTION("""COMPUTED_VALUE"""),"SMK Negeri 2 Konawe")</f>
        <v>SMK Negeri 2 Konawe</v>
      </c>
      <c r="F569" s="6" t="str">
        <f>IFERROR(__xludf.DUMMYFUNCTION("""COMPUTED_VALUE"""),"ILWANTO")</f>
        <v>ILWANTO</v>
      </c>
      <c r="G569" s="6" t="str">
        <f>IFERROR(__xludf.DUMMYFUNCTION("""COMPUTED_VALUE"""),"7402151906070003")</f>
        <v>7402151906070003</v>
      </c>
      <c r="J569" s="7" t="str">
        <f>IFERROR(__xludf.DUMMYFUNCTION("""COMPUTED_VALUE"""),"LAKI-LAKI")</f>
        <v>LAKI-LAKI</v>
      </c>
      <c r="K569" s="6" t="str">
        <f>IFERROR(__xludf.DUMMYFUNCTION("""COMPUTED_VALUE"""),"-")</f>
        <v>-</v>
      </c>
      <c r="N569" s="8" t="s">
        <v>19</v>
      </c>
      <c r="R569" s="7" t="str">
        <f>IFERROR(__xludf.DUMMYFUNCTION("""COMPUTED_VALUE"""),"K")</f>
        <v>K</v>
      </c>
    </row>
    <row r="570" ht="22.5" customHeight="1">
      <c r="A570" s="6">
        <v>569.0</v>
      </c>
      <c r="B570" s="6" t="str">
        <f>IFERROR(__xludf.DUMMYFUNCTION("""COMPUTED_VALUE"""),"Pemeliharaan Kendaraan Ringan Sistem Injeksi")</f>
        <v>Pemeliharaan Kendaraan Ringan Sistem Injeksi</v>
      </c>
      <c r="C570" s="6" t="str">
        <f>IFERROR(__xludf.DUMMYFUNCTION("""COMPUTED_VALUE"""),"SMK Negeri 2 Konawe")</f>
        <v>SMK Negeri 2 Konawe</v>
      </c>
      <c r="F570" s="6" t="str">
        <f>IFERROR(__xludf.DUMMYFUNCTION("""COMPUTED_VALUE"""),"KADEK EDI WIRAWAN")</f>
        <v>KADEK EDI WIRAWAN</v>
      </c>
      <c r="G570" s="6" t="str">
        <f>IFERROR(__xludf.DUMMYFUNCTION("""COMPUTED_VALUE"""),"7402180311080001")</f>
        <v>7402180311080001</v>
      </c>
      <c r="J570" s="7" t="str">
        <f>IFERROR(__xludf.DUMMYFUNCTION("""COMPUTED_VALUE"""),"LAKI-LAKI")</f>
        <v>LAKI-LAKI</v>
      </c>
      <c r="K570" s="6" t="str">
        <f>IFERROR(__xludf.DUMMYFUNCTION("""COMPUTED_VALUE"""),"Langgomea")</f>
        <v>Langgomea</v>
      </c>
      <c r="N570" s="8" t="s">
        <v>19</v>
      </c>
      <c r="R570" s="7" t="str">
        <f>IFERROR(__xludf.DUMMYFUNCTION("""COMPUTED_VALUE"""),"BK")</f>
        <v>BK</v>
      </c>
    </row>
    <row r="571" ht="22.5" customHeight="1">
      <c r="A571" s="6">
        <v>570.0</v>
      </c>
      <c r="B571" s="6" t="str">
        <f>IFERROR(__xludf.DUMMYFUNCTION("""COMPUTED_VALUE"""),"Pemeliharaan Kendaraan Ringan Sistem Injeksi")</f>
        <v>Pemeliharaan Kendaraan Ringan Sistem Injeksi</v>
      </c>
      <c r="C571" s="6" t="str">
        <f>IFERROR(__xludf.DUMMYFUNCTION("""COMPUTED_VALUE"""),"SMK Negeri 2 Konawe")</f>
        <v>SMK Negeri 2 Konawe</v>
      </c>
      <c r="F571" s="6" t="str">
        <f>IFERROR(__xludf.DUMMYFUNCTION("""COMPUTED_VALUE"""),"KHAIDIR IRFAN NUR SHADIQ")</f>
        <v>KHAIDIR IRFAN NUR SHADIQ</v>
      </c>
      <c r="G571" s="6" t="str">
        <f>IFERROR(__xludf.DUMMYFUNCTION("""COMPUTED_VALUE"""),"7307052707080001")</f>
        <v>7307052707080001</v>
      </c>
      <c r="J571" s="7" t="str">
        <f>IFERROR(__xludf.DUMMYFUNCTION("""COMPUTED_VALUE"""),"LAKI-LAKI")</f>
        <v>LAKI-LAKI</v>
      </c>
      <c r="K571" s="6" t="str">
        <f>IFERROR(__xludf.DUMMYFUNCTION("""COMPUTED_VALUE"""),"Jl. Baso Kalaka No.9")</f>
        <v>Jl. Baso Kalaka No.9</v>
      </c>
      <c r="N571" s="8" t="s">
        <v>19</v>
      </c>
      <c r="R571" s="7" t="str">
        <f>IFERROR(__xludf.DUMMYFUNCTION("""COMPUTED_VALUE"""),"K")</f>
        <v>K</v>
      </c>
    </row>
    <row r="572" ht="22.5" customHeight="1">
      <c r="A572" s="6">
        <v>571.0</v>
      </c>
      <c r="B572" s="6" t="str">
        <f>IFERROR(__xludf.DUMMYFUNCTION("""COMPUTED_VALUE"""),"Pemeliharaan Kendaraan Ringan Sistem Injeksi")</f>
        <v>Pemeliharaan Kendaraan Ringan Sistem Injeksi</v>
      </c>
      <c r="C572" s="6" t="str">
        <f>IFERROR(__xludf.DUMMYFUNCTION("""COMPUTED_VALUE"""),"SMK Negeri 2 Konawe")</f>
        <v>SMK Negeri 2 Konawe</v>
      </c>
      <c r="F572" s="6" t="str">
        <f>IFERROR(__xludf.DUMMYFUNCTION("""COMPUTED_VALUE"""),"MUHAMMAD BRIANZAH")</f>
        <v>MUHAMMAD BRIANZAH</v>
      </c>
      <c r="G572" s="6" t="str">
        <f>IFERROR(__xludf.DUMMYFUNCTION("""COMPUTED_VALUE"""),"7402152807080001")</f>
        <v>7402152807080001</v>
      </c>
      <c r="J572" s="7" t="str">
        <f>IFERROR(__xludf.DUMMYFUNCTION("""COMPUTED_VALUE"""),"LAKI-LAKI")</f>
        <v>LAKI-LAKI</v>
      </c>
      <c r="K572" s="6" t="str">
        <f>IFERROR(__xludf.DUMMYFUNCTION("""COMPUTED_VALUE"""),"Sendang Mulyasari")</f>
        <v>Sendang Mulyasari</v>
      </c>
      <c r="N572" s="8" t="s">
        <v>19</v>
      </c>
      <c r="R572" s="7" t="str">
        <f>IFERROR(__xludf.DUMMYFUNCTION("""COMPUTED_VALUE"""),"K")</f>
        <v>K</v>
      </c>
    </row>
    <row r="573" ht="22.5" customHeight="1">
      <c r="A573" s="6">
        <v>572.0</v>
      </c>
      <c r="B573" s="6" t="str">
        <f>IFERROR(__xludf.DUMMYFUNCTION("""COMPUTED_VALUE"""),"Pemeliharaan Kendaraan Ringan Sistem Injeksi")</f>
        <v>Pemeliharaan Kendaraan Ringan Sistem Injeksi</v>
      </c>
      <c r="C573" s="6" t="str">
        <f>IFERROR(__xludf.DUMMYFUNCTION("""COMPUTED_VALUE"""),"SMK Negeri 2 Konawe")</f>
        <v>SMK Negeri 2 Konawe</v>
      </c>
      <c r="F573" s="6" t="str">
        <f>IFERROR(__xludf.DUMMYFUNCTION("""COMPUTED_VALUE"""),"MUH. ALWI")</f>
        <v>MUH. ALWI</v>
      </c>
      <c r="G573" s="6" t="str">
        <f>IFERROR(__xludf.DUMMYFUNCTION("""COMPUTED_VALUE"""),"7402151904080001")</f>
        <v>7402151904080001</v>
      </c>
      <c r="J573" s="7" t="str">
        <f>IFERROR(__xludf.DUMMYFUNCTION("""COMPUTED_VALUE"""),"LAKI-LAKI")</f>
        <v>LAKI-LAKI</v>
      </c>
      <c r="K573" s="6" t="str">
        <f>IFERROR(__xludf.DUMMYFUNCTION("""COMPUTED_VALUE"""),"Nambeaboru")</f>
        <v>Nambeaboru</v>
      </c>
      <c r="N573" s="8" t="s">
        <v>19</v>
      </c>
      <c r="R573" s="7" t="str">
        <f>IFERROR(__xludf.DUMMYFUNCTION("""COMPUTED_VALUE"""),"K")</f>
        <v>K</v>
      </c>
    </row>
    <row r="574" ht="22.5" customHeight="1">
      <c r="A574" s="6">
        <v>573.0</v>
      </c>
      <c r="B574" s="6" t="str">
        <f>IFERROR(__xludf.DUMMYFUNCTION("""COMPUTED_VALUE"""),"Pemeliharaan Kendaraan Ringan Sistem Injeksi")</f>
        <v>Pemeliharaan Kendaraan Ringan Sistem Injeksi</v>
      </c>
      <c r="C574" s="6" t="str">
        <f>IFERROR(__xludf.DUMMYFUNCTION("""COMPUTED_VALUE"""),"SMK Negeri 2 Konawe")</f>
        <v>SMK Negeri 2 Konawe</v>
      </c>
      <c r="F574" s="6" t="str">
        <f>IFERROR(__xludf.DUMMYFUNCTION("""COMPUTED_VALUE"""),"MUH. BINTANG APRIYANSHA")</f>
        <v>MUH. BINTANG APRIYANSHA</v>
      </c>
      <c r="G574" s="6" t="str">
        <f>IFERROR(__xludf.DUMMYFUNCTION("""COMPUTED_VALUE"""),"7402242204070001")</f>
        <v>7402242204070001</v>
      </c>
      <c r="J574" s="7" t="str">
        <f>IFERROR(__xludf.DUMMYFUNCTION("""COMPUTED_VALUE"""),"LAKI-LAKI")</f>
        <v>LAKI-LAKI</v>
      </c>
      <c r="K574" s="6" t="str">
        <f>IFERROR(__xludf.DUMMYFUNCTION("""COMPUTED_VALUE"""),"Kel. Andabia")</f>
        <v>Kel. Andabia</v>
      </c>
      <c r="N574" s="8" t="s">
        <v>19</v>
      </c>
      <c r="R574" s="7" t="str">
        <f>IFERROR(__xludf.DUMMYFUNCTION("""COMPUTED_VALUE"""),"K")</f>
        <v>K</v>
      </c>
    </row>
    <row r="575" ht="22.5" customHeight="1">
      <c r="A575" s="6">
        <v>574.0</v>
      </c>
      <c r="B575" s="6" t="str">
        <f>IFERROR(__xludf.DUMMYFUNCTION("""COMPUTED_VALUE"""),"Pemeliharaan Kendaraan Ringan Sistem Injeksi")</f>
        <v>Pemeliharaan Kendaraan Ringan Sistem Injeksi</v>
      </c>
      <c r="C575" s="6" t="str">
        <f>IFERROR(__xludf.DUMMYFUNCTION("""COMPUTED_VALUE"""),"SMK Negeri 2 Konawe")</f>
        <v>SMK Negeri 2 Konawe</v>
      </c>
      <c r="F575" s="6" t="str">
        <f>IFERROR(__xludf.DUMMYFUNCTION("""COMPUTED_VALUE"""),"MUH. FAJAR ZAINUDIN")</f>
        <v>MUH. FAJAR ZAINUDIN</v>
      </c>
      <c r="G575" s="6" t="str">
        <f>IFERROR(__xludf.DUMMYFUNCTION("""COMPUTED_VALUE"""),"7402100111080003")</f>
        <v>7402100111080003</v>
      </c>
      <c r="J575" s="7" t="str">
        <f>IFERROR(__xludf.DUMMYFUNCTION("""COMPUTED_VALUE"""),"LAKI-LAKI")</f>
        <v>LAKI-LAKI</v>
      </c>
      <c r="K575" s="6" t="str">
        <f>IFERROR(__xludf.DUMMYFUNCTION("""COMPUTED_VALUE"""),"Desa Epeea, Abuki, RT 001")</f>
        <v>Desa Epeea, Abuki, RT 001</v>
      </c>
      <c r="N575" s="8" t="s">
        <v>19</v>
      </c>
      <c r="R575" s="7" t="str">
        <f>IFERROR(__xludf.DUMMYFUNCTION("""COMPUTED_VALUE"""),"K")</f>
        <v>K</v>
      </c>
    </row>
    <row r="576" ht="22.5" customHeight="1">
      <c r="A576" s="6">
        <v>575.0</v>
      </c>
      <c r="B576" s="6" t="str">
        <f>IFERROR(__xludf.DUMMYFUNCTION("""COMPUTED_VALUE"""),"Pemeliharaan Kendaraan Ringan Sistem Injeksi")</f>
        <v>Pemeliharaan Kendaraan Ringan Sistem Injeksi</v>
      </c>
      <c r="C576" s="6" t="str">
        <f>IFERROR(__xludf.DUMMYFUNCTION("""COMPUTED_VALUE"""),"SMK Negeri 2 Konawe")</f>
        <v>SMK Negeri 2 Konawe</v>
      </c>
      <c r="F576" s="6" t="str">
        <f>IFERROR(__xludf.DUMMYFUNCTION("""COMPUTED_VALUE"""),"MUH. SAPUTRA ASA'AD")</f>
        <v>MUH. SAPUTRA ASA'AD</v>
      </c>
      <c r="G576" s="6" t="str">
        <f>IFERROR(__xludf.DUMMYFUNCTION("""COMPUTED_VALUE"""),"7402151810070002")</f>
        <v>7402151810070002</v>
      </c>
      <c r="J576" s="7" t="str">
        <f>IFERROR(__xludf.DUMMYFUNCTION("""COMPUTED_VALUE"""),"LAKI-LAKI")</f>
        <v>LAKI-LAKI</v>
      </c>
      <c r="K576" s="6" t="str">
        <f>IFERROR(__xludf.DUMMYFUNCTION("""COMPUTED_VALUE"""),"Desa Olua'ao")</f>
        <v>Desa Olua'ao</v>
      </c>
      <c r="N576" s="8" t="s">
        <v>19</v>
      </c>
      <c r="R576" s="7" t="str">
        <f>IFERROR(__xludf.DUMMYFUNCTION("""COMPUTED_VALUE"""),"K")</f>
        <v>K</v>
      </c>
    </row>
    <row r="577" ht="22.5" customHeight="1">
      <c r="A577" s="6">
        <v>576.0</v>
      </c>
      <c r="B577" s="6" t="str">
        <f>IFERROR(__xludf.DUMMYFUNCTION("""COMPUTED_VALUE"""),"Pemeliharaan Kendaraan Ringan Sistem Injeksi")</f>
        <v>Pemeliharaan Kendaraan Ringan Sistem Injeksi</v>
      </c>
      <c r="C577" s="6" t="str">
        <f>IFERROR(__xludf.DUMMYFUNCTION("""COMPUTED_VALUE"""),"SMK Negeri 2 Konawe")</f>
        <v>SMK Negeri 2 Konawe</v>
      </c>
      <c r="F577" s="6" t="str">
        <f>IFERROR(__xludf.DUMMYFUNCTION("""COMPUTED_VALUE"""),"MUHAMMAD AIMAN")</f>
        <v>MUHAMMAD AIMAN</v>
      </c>
      <c r="G577" s="6" t="str">
        <f>IFERROR(__xludf.DUMMYFUNCTION("""COMPUTED_VALUE"""),"7315052907070002")</f>
        <v>7315052907070002</v>
      </c>
      <c r="J577" s="7" t="str">
        <f>IFERROR(__xludf.DUMMYFUNCTION("""COMPUTED_VALUE"""),"LAKI-LAKI")</f>
        <v>LAKI-LAKI</v>
      </c>
      <c r="K577" s="6" t="str">
        <f>IFERROR(__xludf.DUMMYFUNCTION("""COMPUTED_VALUE"""),"Anggopiu")</f>
        <v>Anggopiu</v>
      </c>
      <c r="N577" s="8" t="s">
        <v>19</v>
      </c>
      <c r="R577" s="7" t="str">
        <f>IFERROR(__xludf.DUMMYFUNCTION("""COMPUTED_VALUE"""),"K")</f>
        <v>K</v>
      </c>
    </row>
    <row r="578" ht="22.5" customHeight="1">
      <c r="A578" s="6">
        <v>577.0</v>
      </c>
      <c r="B578" s="6" t="str">
        <f>IFERROR(__xludf.DUMMYFUNCTION("""COMPUTED_VALUE"""),"Pemeliharaan Kendaraan Ringan Sistem Injeksi")</f>
        <v>Pemeliharaan Kendaraan Ringan Sistem Injeksi</v>
      </c>
      <c r="C578" s="6" t="str">
        <f>IFERROR(__xludf.DUMMYFUNCTION("""COMPUTED_VALUE"""),"SMK Negeri 2 Konawe")</f>
        <v>SMK Negeri 2 Konawe</v>
      </c>
      <c r="F578" s="6" t="str">
        <f>IFERROR(__xludf.DUMMYFUNCTION("""COMPUTED_VALUE"""),"NOVA HELDIANSAH")</f>
        <v>NOVA HELDIANSAH</v>
      </c>
      <c r="G578" s="6" t="str">
        <f>IFERROR(__xludf.DUMMYFUNCTION("""COMPUTED_VALUE"""),"7471031111070002")</f>
        <v>7471031111070002</v>
      </c>
      <c r="J578" s="7" t="str">
        <f>IFERROR(__xludf.DUMMYFUNCTION("""COMPUTED_VALUE"""),"LAKI-LAKI")</f>
        <v>LAKI-LAKI</v>
      </c>
      <c r="K578" s="6" t="str">
        <f>IFERROR(__xludf.DUMMYFUNCTION("""COMPUTED_VALUE"""),"Wawonine")</f>
        <v>Wawonine</v>
      </c>
      <c r="N578" s="8" t="s">
        <v>19</v>
      </c>
      <c r="R578" s="7" t="str">
        <f>IFERROR(__xludf.DUMMYFUNCTION("""COMPUTED_VALUE"""),"K")</f>
        <v>K</v>
      </c>
    </row>
    <row r="579" ht="22.5" customHeight="1">
      <c r="A579" s="6">
        <v>578.0</v>
      </c>
      <c r="B579" s="6" t="str">
        <f>IFERROR(__xludf.DUMMYFUNCTION("""COMPUTED_VALUE"""),"Pemeliharaan Kendaraan Ringan Sistem Injeksi")</f>
        <v>Pemeliharaan Kendaraan Ringan Sistem Injeksi</v>
      </c>
      <c r="C579" s="6" t="str">
        <f>IFERROR(__xludf.DUMMYFUNCTION("""COMPUTED_VALUE"""),"SMK Negeri 2 Konawe")</f>
        <v>SMK Negeri 2 Konawe</v>
      </c>
      <c r="F579" s="6" t="str">
        <f>IFERROR(__xludf.DUMMYFUNCTION("""COMPUTED_VALUE"""),"RAHMAT MEIFANSYAH")</f>
        <v>RAHMAT MEIFANSYAH</v>
      </c>
      <c r="G579" s="6" t="str">
        <f>IFERROR(__xludf.DUMMYFUNCTION("""COMPUTED_VALUE"""),"7402240805080001")</f>
        <v>7402240805080001</v>
      </c>
      <c r="J579" s="7" t="str">
        <f>IFERROR(__xludf.DUMMYFUNCTION("""COMPUTED_VALUE"""),"LAKI-LAKI")</f>
        <v>LAKI-LAKI</v>
      </c>
      <c r="K579" s="6" t="str">
        <f>IFERROR(__xludf.DUMMYFUNCTION("""COMPUTED_VALUE"""),"Kel. Unaasi, Anggaberi")</f>
        <v>Kel. Unaasi, Anggaberi</v>
      </c>
      <c r="N579" s="8" t="s">
        <v>19</v>
      </c>
      <c r="R579" s="7" t="str">
        <f>IFERROR(__xludf.DUMMYFUNCTION("""COMPUTED_VALUE"""),"K")</f>
        <v>K</v>
      </c>
    </row>
    <row r="580" ht="22.5" customHeight="1">
      <c r="A580" s="6">
        <v>579.0</v>
      </c>
      <c r="B580" s="6" t="str">
        <f>IFERROR(__xludf.DUMMYFUNCTION("""COMPUTED_VALUE"""),"Pemeliharaan Kendaraan Ringan Sistem Injeksi")</f>
        <v>Pemeliharaan Kendaraan Ringan Sistem Injeksi</v>
      </c>
      <c r="C580" s="6" t="str">
        <f>IFERROR(__xludf.DUMMYFUNCTION("""COMPUTED_VALUE"""),"SMK Negeri 2 Konawe")</f>
        <v>SMK Negeri 2 Konawe</v>
      </c>
      <c r="F580" s="6" t="str">
        <f>IFERROR(__xludf.DUMMYFUNCTION("""COMPUTED_VALUE"""),"REZKI ADITYA")</f>
        <v>REZKI ADITYA</v>
      </c>
      <c r="G580" s="6" t="str">
        <f>IFERROR(__xludf.DUMMYFUNCTION("""COMPUTED_VALUE"""),"7402150808080001")</f>
        <v>7402150808080001</v>
      </c>
      <c r="J580" s="7" t="str">
        <f>IFERROR(__xludf.DUMMYFUNCTION("""COMPUTED_VALUE"""),"LAKI-LAKI")</f>
        <v>LAKI-LAKI</v>
      </c>
      <c r="K580" s="6" t="str">
        <f>IFERROR(__xludf.DUMMYFUNCTION("""COMPUTED_VALUE"""),"Desa Olua'ao")</f>
        <v>Desa Olua'ao</v>
      </c>
      <c r="N580" s="8" t="s">
        <v>19</v>
      </c>
      <c r="R580" s="7" t="str">
        <f>IFERROR(__xludf.DUMMYFUNCTION("""COMPUTED_VALUE"""),"K")</f>
        <v>K</v>
      </c>
    </row>
    <row r="581" ht="22.5" customHeight="1">
      <c r="A581" s="6">
        <v>580.0</v>
      </c>
      <c r="B581" s="6" t="str">
        <f>IFERROR(__xludf.DUMMYFUNCTION("""COMPUTED_VALUE"""),"Pemeliharaan Kendaraan Ringan Sistem Injeksi")</f>
        <v>Pemeliharaan Kendaraan Ringan Sistem Injeksi</v>
      </c>
      <c r="C581" s="6" t="str">
        <f>IFERROR(__xludf.DUMMYFUNCTION("""COMPUTED_VALUE"""),"SMK Negeri 2 Konawe")</f>
        <v>SMK Negeri 2 Konawe</v>
      </c>
      <c r="F581" s="6" t="str">
        <f>IFERROR(__xludf.DUMMYFUNCTION("""COMPUTED_VALUE"""),"RIPAL")</f>
        <v>RIPAL</v>
      </c>
      <c r="G581" s="6" t="str">
        <f>IFERROR(__xludf.DUMMYFUNCTION("""COMPUTED_VALUE"""),"7402310201060002")</f>
        <v>7402310201060002</v>
      </c>
      <c r="J581" s="7" t="str">
        <f>IFERROR(__xludf.DUMMYFUNCTION("""COMPUTED_VALUE"""),"LAKI-LAKI")</f>
        <v>LAKI-LAKI</v>
      </c>
      <c r="K581" s="6" t="str">
        <f>IFERROR(__xludf.DUMMYFUNCTION("""COMPUTED_VALUE"""),"Desa Angohi")</f>
        <v>Desa Angohi</v>
      </c>
      <c r="N581" s="8" t="s">
        <v>19</v>
      </c>
      <c r="R581" s="7" t="str">
        <f>IFERROR(__xludf.DUMMYFUNCTION("""COMPUTED_VALUE"""),"K")</f>
        <v>K</v>
      </c>
    </row>
    <row r="582" ht="22.5" customHeight="1">
      <c r="A582" s="6">
        <v>581.0</v>
      </c>
      <c r="B582" s="6" t="str">
        <f>IFERROR(__xludf.DUMMYFUNCTION("""COMPUTED_VALUE"""),"Pemeliharaan Kendaraan Ringan Sistem Injeksi")</f>
        <v>Pemeliharaan Kendaraan Ringan Sistem Injeksi</v>
      </c>
      <c r="C582" s="6" t="str">
        <f>IFERROR(__xludf.DUMMYFUNCTION("""COMPUTED_VALUE"""),"SMK Negeri 2 Konawe")</f>
        <v>SMK Negeri 2 Konawe</v>
      </c>
      <c r="F582" s="6" t="str">
        <f>IFERROR(__xludf.DUMMYFUNCTION("""COMPUTED_VALUE"""),"RISWAN")</f>
        <v>RISWAN</v>
      </c>
      <c r="G582" s="6" t="str">
        <f>IFERROR(__xludf.DUMMYFUNCTION("""COMPUTED_VALUE"""),"7402150107060033")</f>
        <v>7402150107060033</v>
      </c>
      <c r="J582" s="7" t="str">
        <f>IFERROR(__xludf.DUMMYFUNCTION("""COMPUTED_VALUE"""),"LAKI-LAKI")</f>
        <v>LAKI-LAKI</v>
      </c>
      <c r="K582" s="6" t="str">
        <f>IFERROR(__xludf.DUMMYFUNCTION("""COMPUTED_VALUE"""),"Desa Barowila")</f>
        <v>Desa Barowila</v>
      </c>
      <c r="N582" s="8" t="s">
        <v>19</v>
      </c>
      <c r="R582" s="7" t="str">
        <f>IFERROR(__xludf.DUMMYFUNCTION("""COMPUTED_VALUE"""),"K")</f>
        <v>K</v>
      </c>
    </row>
    <row r="583" ht="22.5" customHeight="1">
      <c r="A583" s="6">
        <v>582.0</v>
      </c>
      <c r="B583" s="6" t="str">
        <f>IFERROR(__xludf.DUMMYFUNCTION("""COMPUTED_VALUE"""),"Pemeliharaan Kendaraan Ringan Sistem Injeksi")</f>
        <v>Pemeliharaan Kendaraan Ringan Sistem Injeksi</v>
      </c>
      <c r="C583" s="6" t="str">
        <f>IFERROR(__xludf.DUMMYFUNCTION("""COMPUTED_VALUE"""),"SMK Negeri 2 Konawe")</f>
        <v>SMK Negeri 2 Konawe</v>
      </c>
      <c r="F583" s="6" t="str">
        <f>IFERROR(__xludf.DUMMYFUNCTION("""COMPUTED_VALUE"""),"AGUS DWIYANTO")</f>
        <v>AGUS DWIYANTO</v>
      </c>
      <c r="G583" s="6" t="str">
        <f>IFERROR(__xludf.DUMMYFUNCTION("""COMPUTED_VALUE"""),"7402021608080001")</f>
        <v>7402021608080001</v>
      </c>
      <c r="J583" s="7" t="str">
        <f>IFERROR(__xludf.DUMMYFUNCTION("""COMPUTED_VALUE"""),"LAKI-LAKI")</f>
        <v>LAKI-LAKI</v>
      </c>
      <c r="K583" s="6" t="str">
        <f>IFERROR(__xludf.DUMMYFUNCTION("""COMPUTED_VALUE"""),"Arombu")</f>
        <v>Arombu</v>
      </c>
      <c r="N583" s="8" t="s">
        <v>19</v>
      </c>
      <c r="R583" s="7" t="str">
        <f>IFERROR(__xludf.DUMMYFUNCTION("""COMPUTED_VALUE"""),"K")</f>
        <v>K</v>
      </c>
    </row>
    <row r="584" ht="22.5" customHeight="1">
      <c r="A584" s="6">
        <v>583.0</v>
      </c>
      <c r="B584" s="6" t="str">
        <f>IFERROR(__xludf.DUMMYFUNCTION("""COMPUTED_VALUE"""),"Pemeliharaan Kendaraan Ringan Sistem Injeksi")</f>
        <v>Pemeliharaan Kendaraan Ringan Sistem Injeksi</v>
      </c>
      <c r="C584" s="6" t="str">
        <f>IFERROR(__xludf.DUMMYFUNCTION("""COMPUTED_VALUE"""),"SMK Negeri 2 Konawe")</f>
        <v>SMK Negeri 2 Konawe</v>
      </c>
      <c r="F584" s="6" t="str">
        <f>IFERROR(__xludf.DUMMYFUNCTION("""COMPUTED_VALUE"""),"ALDI SASONGKO")</f>
        <v>ALDI SASONGKO</v>
      </c>
      <c r="G584" s="6" t="str">
        <f>IFERROR(__xludf.DUMMYFUNCTION("""COMPUTED_VALUE"""),"7402282705080001")</f>
        <v>7402282705080001</v>
      </c>
      <c r="J584" s="7" t="str">
        <f>IFERROR(__xludf.DUMMYFUNCTION("""COMPUTED_VALUE"""),"LAKI-LAKI")</f>
        <v>LAKI-LAKI</v>
      </c>
      <c r="K584" s="6" t="str">
        <f>IFERROR(__xludf.DUMMYFUNCTION("""COMPUTED_VALUE"""),"Watulawu")</f>
        <v>Watulawu</v>
      </c>
      <c r="N584" s="8" t="s">
        <v>19</v>
      </c>
      <c r="R584" s="7" t="str">
        <f>IFERROR(__xludf.DUMMYFUNCTION("""COMPUTED_VALUE"""),"K")</f>
        <v>K</v>
      </c>
    </row>
    <row r="585" ht="22.5" customHeight="1">
      <c r="A585" s="6">
        <v>584.0</v>
      </c>
      <c r="B585" s="6" t="str">
        <f>IFERROR(__xludf.DUMMYFUNCTION("""COMPUTED_VALUE"""),"Pemeliharaan Kendaraan Ringan Sistem Injeksi")</f>
        <v>Pemeliharaan Kendaraan Ringan Sistem Injeksi</v>
      </c>
      <c r="C585" s="6" t="str">
        <f>IFERROR(__xludf.DUMMYFUNCTION("""COMPUTED_VALUE"""),"SMK Negeri 2 Konawe")</f>
        <v>SMK Negeri 2 Konawe</v>
      </c>
      <c r="F585" s="6" t="str">
        <f>IFERROR(__xludf.DUMMYFUNCTION("""COMPUTED_VALUE"""),"ALDIANSYAH SAPUTRA")</f>
        <v>ALDIANSYAH SAPUTRA</v>
      </c>
      <c r="G585" s="6" t="str">
        <f>IFERROR(__xludf.DUMMYFUNCTION("""COMPUTED_VALUE"""),"7402152505080001")</f>
        <v>7402152505080001</v>
      </c>
      <c r="J585" s="7" t="str">
        <f>IFERROR(__xludf.DUMMYFUNCTION("""COMPUTED_VALUE"""),"LAKI-LAKI")</f>
        <v>LAKI-LAKI</v>
      </c>
      <c r="K585" s="6" t="str">
        <f>IFERROR(__xludf.DUMMYFUNCTION("""COMPUTED_VALUE"""),"Sendang Mulya Sari")</f>
        <v>Sendang Mulya Sari</v>
      </c>
      <c r="N585" s="8" t="s">
        <v>19</v>
      </c>
      <c r="R585" s="7" t="str">
        <f>IFERROR(__xludf.DUMMYFUNCTION("""COMPUTED_VALUE"""),"K")</f>
        <v>K</v>
      </c>
    </row>
    <row r="586" ht="22.5" customHeight="1">
      <c r="A586" s="6">
        <v>585.0</v>
      </c>
      <c r="B586" s="6" t="str">
        <f>IFERROR(__xludf.DUMMYFUNCTION("""COMPUTED_VALUE"""),"Pemeliharaan Kendaraan Ringan Sistem Injeksi")</f>
        <v>Pemeliharaan Kendaraan Ringan Sistem Injeksi</v>
      </c>
      <c r="C586" s="6" t="str">
        <f>IFERROR(__xludf.DUMMYFUNCTION("""COMPUTED_VALUE"""),"SMK Negeri 2 Konawe")</f>
        <v>SMK Negeri 2 Konawe</v>
      </c>
      <c r="F586" s="6" t="str">
        <f>IFERROR(__xludf.DUMMYFUNCTION("""COMPUTED_VALUE"""),"AMRAN")</f>
        <v>AMRAN</v>
      </c>
      <c r="G586" s="6" t="str">
        <f>IFERROR(__xludf.DUMMYFUNCTION("""COMPUTED_VALUE"""),"7402230112070001")</f>
        <v>7402230112070001</v>
      </c>
      <c r="J586" s="7" t="str">
        <f>IFERROR(__xludf.DUMMYFUNCTION("""COMPUTED_VALUE"""),"LAKI-LAKI")</f>
        <v>LAKI-LAKI</v>
      </c>
      <c r="K586" s="6" t="str">
        <f>IFERROR(__xludf.DUMMYFUNCTION("""COMPUTED_VALUE"""),"Kec. Routa")</f>
        <v>Kec. Routa</v>
      </c>
      <c r="N586" s="8" t="s">
        <v>19</v>
      </c>
      <c r="R586" s="7" t="str">
        <f>IFERROR(__xludf.DUMMYFUNCTION("""COMPUTED_VALUE"""),"K")</f>
        <v>K</v>
      </c>
    </row>
    <row r="587" ht="22.5" customHeight="1">
      <c r="A587" s="6">
        <v>586.0</v>
      </c>
      <c r="B587" s="6" t="str">
        <f>IFERROR(__xludf.DUMMYFUNCTION("""COMPUTED_VALUE"""),"Pemeliharaan Kendaraan Ringan Sistem Injeksi")</f>
        <v>Pemeliharaan Kendaraan Ringan Sistem Injeksi</v>
      </c>
      <c r="C587" s="6" t="str">
        <f>IFERROR(__xludf.DUMMYFUNCTION("""COMPUTED_VALUE"""),"SMK Negeri 2 Konawe")</f>
        <v>SMK Negeri 2 Konawe</v>
      </c>
      <c r="F587" s="6" t="str">
        <f>IFERROR(__xludf.DUMMYFUNCTION("""COMPUTED_VALUE"""),"APRIAWAN")</f>
        <v>APRIAWAN</v>
      </c>
      <c r="G587" s="6" t="str">
        <f>IFERROR(__xludf.DUMMYFUNCTION("""COMPUTED_VALUE"""),"7402151204090001")</f>
        <v>7402151204090001</v>
      </c>
      <c r="J587" s="7" t="str">
        <f>IFERROR(__xludf.DUMMYFUNCTION("""COMPUTED_VALUE"""),"LAKI-LAKI")</f>
        <v>LAKI-LAKI</v>
      </c>
      <c r="K587" s="6" t="str">
        <f>IFERROR(__xludf.DUMMYFUNCTION("""COMPUTED_VALUE"""),"Sendang Mulya Sari")</f>
        <v>Sendang Mulya Sari</v>
      </c>
      <c r="N587" s="8" t="s">
        <v>19</v>
      </c>
      <c r="R587" s="7" t="str">
        <f>IFERROR(__xludf.DUMMYFUNCTION("""COMPUTED_VALUE"""),"K")</f>
        <v>K</v>
      </c>
    </row>
    <row r="588" ht="22.5" customHeight="1">
      <c r="A588" s="6">
        <v>587.0</v>
      </c>
      <c r="B588" s="6" t="str">
        <f>IFERROR(__xludf.DUMMYFUNCTION("""COMPUTED_VALUE"""),"Pemeliharaan Kendaraan Ringan Sistem Injeksi")</f>
        <v>Pemeliharaan Kendaraan Ringan Sistem Injeksi</v>
      </c>
      <c r="C588" s="6" t="str">
        <f>IFERROR(__xludf.DUMMYFUNCTION("""COMPUTED_VALUE"""),"SMK Negeri 2 Konawe")</f>
        <v>SMK Negeri 2 Konawe</v>
      </c>
      <c r="F588" s="6" t="str">
        <f>IFERROR(__xludf.DUMMYFUNCTION("""COMPUTED_VALUE"""),"ARMAN MAULANA")</f>
        <v>ARMAN MAULANA</v>
      </c>
      <c r="G588" s="6" t="str">
        <f>IFERROR(__xludf.DUMMYFUNCTION("""COMPUTED_VALUE"""),"7402181408080001")</f>
        <v>7402181408080001</v>
      </c>
      <c r="J588" s="7" t="str">
        <f>IFERROR(__xludf.DUMMYFUNCTION("""COMPUTED_VALUE"""),"LAKI-LAKI")</f>
        <v>LAKI-LAKI</v>
      </c>
      <c r="K588" s="6" t="str">
        <f>IFERROR(__xludf.DUMMYFUNCTION("""COMPUTED_VALUE"""),"Puuroda Jaya")</f>
        <v>Puuroda Jaya</v>
      </c>
      <c r="N588" s="8" t="s">
        <v>19</v>
      </c>
      <c r="R588" s="7" t="str">
        <f>IFERROR(__xludf.DUMMYFUNCTION("""COMPUTED_VALUE"""),"K")</f>
        <v>K</v>
      </c>
    </row>
    <row r="589" ht="22.5" customHeight="1">
      <c r="A589" s="6">
        <v>588.0</v>
      </c>
      <c r="B589" s="6" t="str">
        <f>IFERROR(__xludf.DUMMYFUNCTION("""COMPUTED_VALUE"""),"Pemeliharaan Kendaraan Ringan Sistem Injeksi")</f>
        <v>Pemeliharaan Kendaraan Ringan Sistem Injeksi</v>
      </c>
      <c r="C589" s="6" t="str">
        <f>IFERROR(__xludf.DUMMYFUNCTION("""COMPUTED_VALUE"""),"SMK Negeri 2 Konawe")</f>
        <v>SMK Negeri 2 Konawe</v>
      </c>
      <c r="F589" s="6" t="str">
        <f>IFERROR(__xludf.DUMMYFUNCTION("""COMPUTED_VALUE"""),"ASDAR")</f>
        <v>ASDAR</v>
      </c>
      <c r="G589" s="6" t="str">
        <f>IFERROR(__xludf.DUMMYFUNCTION("""COMPUTED_VALUE"""),"7402151702070001")</f>
        <v>7402151702070001</v>
      </c>
      <c r="J589" s="7" t="str">
        <f>IFERROR(__xludf.DUMMYFUNCTION("""COMPUTED_VALUE"""),"LAKI-LAKI")</f>
        <v>LAKI-LAKI</v>
      </c>
      <c r="K589" s="6" t="str">
        <f>IFERROR(__xludf.DUMMYFUNCTION("""COMPUTED_VALUE"""),"Desa Ambopi")</f>
        <v>Desa Ambopi</v>
      </c>
      <c r="N589" s="8" t="s">
        <v>19</v>
      </c>
      <c r="R589" s="7" t="str">
        <f>IFERROR(__xludf.DUMMYFUNCTION("""COMPUTED_VALUE"""),"K")</f>
        <v>K</v>
      </c>
    </row>
    <row r="590" ht="22.5" customHeight="1">
      <c r="A590" s="6">
        <v>589.0</v>
      </c>
      <c r="B590" s="6" t="str">
        <f>IFERROR(__xludf.DUMMYFUNCTION("""COMPUTED_VALUE"""),"Pemeliharaan Kendaraan Ringan Sistem Injeksi")</f>
        <v>Pemeliharaan Kendaraan Ringan Sistem Injeksi</v>
      </c>
      <c r="C590" s="6" t="str">
        <f>IFERROR(__xludf.DUMMYFUNCTION("""COMPUTED_VALUE"""),"SMK Negeri 2 Konawe")</f>
        <v>SMK Negeri 2 Konawe</v>
      </c>
      <c r="F590" s="6" t="str">
        <f>IFERROR(__xludf.DUMMYFUNCTION("""COMPUTED_VALUE"""),"AWALUDDIN")</f>
        <v>AWALUDDIN</v>
      </c>
      <c r="G590" s="6" t="str">
        <f>IFERROR(__xludf.DUMMYFUNCTION("""COMPUTED_VALUE"""),"7402190608080001")</f>
        <v>7402190608080001</v>
      </c>
      <c r="J590" s="7" t="str">
        <f>IFERROR(__xludf.DUMMYFUNCTION("""COMPUTED_VALUE"""),"LAKI-LAKI")</f>
        <v>LAKI-LAKI</v>
      </c>
      <c r="K590" s="6" t="str">
        <f>IFERROR(__xludf.DUMMYFUNCTION("""COMPUTED_VALUE"""),"Jl. Kiwi")</f>
        <v>Jl. Kiwi</v>
      </c>
      <c r="N590" s="8" t="s">
        <v>19</v>
      </c>
      <c r="R590" s="7" t="str">
        <f>IFERROR(__xludf.DUMMYFUNCTION("""COMPUTED_VALUE"""),"BK")</f>
        <v>BK</v>
      </c>
    </row>
    <row r="591" ht="22.5" customHeight="1">
      <c r="A591" s="6">
        <v>590.0</v>
      </c>
      <c r="B591" s="6" t="str">
        <f>IFERROR(__xludf.DUMMYFUNCTION("""COMPUTED_VALUE"""),"Pemeliharaan Kendaraan Ringan Sistem Injeksi")</f>
        <v>Pemeliharaan Kendaraan Ringan Sistem Injeksi</v>
      </c>
      <c r="C591" s="6" t="str">
        <f>IFERROR(__xludf.DUMMYFUNCTION("""COMPUTED_VALUE"""),"SMK Negeri 2 Konawe")</f>
        <v>SMK Negeri 2 Konawe</v>
      </c>
      <c r="F591" s="6" t="str">
        <f>IFERROR(__xludf.DUMMYFUNCTION("""COMPUTED_VALUE"""),"DHIKA ARDINANSYAH")</f>
        <v>DHIKA ARDINANSYAH</v>
      </c>
      <c r="G591" s="6" t="str">
        <f>IFERROR(__xludf.DUMMYFUNCTION("""COMPUTED_VALUE"""),"7402251002090001")</f>
        <v>7402251002090001</v>
      </c>
      <c r="J591" s="7" t="str">
        <f>IFERROR(__xludf.DUMMYFUNCTION("""COMPUTED_VALUE"""),"LAKI-LAKI")</f>
        <v>LAKI-LAKI</v>
      </c>
      <c r="K591" s="6" t="str">
        <f>IFERROR(__xludf.DUMMYFUNCTION("""COMPUTED_VALUE"""),"Jl. Kamboja")</f>
        <v>Jl. Kamboja</v>
      </c>
      <c r="N591" s="8" t="s">
        <v>19</v>
      </c>
      <c r="R591" s="7" t="str">
        <f>IFERROR(__xludf.DUMMYFUNCTION("""COMPUTED_VALUE"""),"K")</f>
        <v>K</v>
      </c>
    </row>
    <row r="592" ht="22.5" customHeight="1">
      <c r="A592" s="6">
        <v>591.0</v>
      </c>
      <c r="B592" s="6" t="str">
        <f>IFERROR(__xludf.DUMMYFUNCTION("""COMPUTED_VALUE"""),"Pemeliharaan Kendaraan Ringan Sistem Injeksi")</f>
        <v>Pemeliharaan Kendaraan Ringan Sistem Injeksi</v>
      </c>
      <c r="C592" s="6" t="str">
        <f>IFERROR(__xludf.DUMMYFUNCTION("""COMPUTED_VALUE"""),"SMK Negeri 2 Konawe")</f>
        <v>SMK Negeri 2 Konawe</v>
      </c>
      <c r="F592" s="6" t="str">
        <f>IFERROR(__xludf.DUMMYFUNCTION("""COMPUTED_VALUE"""),"DIRGA MAULANA ISHAK")</f>
        <v>DIRGA MAULANA ISHAK</v>
      </c>
      <c r="G592" s="6" t="str">
        <f>IFERROR(__xludf.DUMMYFUNCTION("""COMPUTED_VALUE"""),"6405023101080003")</f>
        <v>6405023101080003</v>
      </c>
      <c r="J592" s="7" t="str">
        <f>IFERROR(__xludf.DUMMYFUNCTION("""COMPUTED_VALUE"""),"LAKI-LAKI")</f>
        <v>LAKI-LAKI</v>
      </c>
      <c r="K592" s="6" t="str">
        <f>IFERROR(__xludf.DUMMYFUNCTION("""COMPUTED_VALUE"""),"Desa Awua Jaya")</f>
        <v>Desa Awua Jaya</v>
      </c>
      <c r="N592" s="8" t="s">
        <v>19</v>
      </c>
      <c r="R592" s="7" t="str">
        <f>IFERROR(__xludf.DUMMYFUNCTION("""COMPUTED_VALUE"""),"K")</f>
        <v>K</v>
      </c>
    </row>
    <row r="593" ht="22.5" customHeight="1">
      <c r="A593" s="6">
        <v>592.0</v>
      </c>
      <c r="B593" s="6" t="str">
        <f>IFERROR(__xludf.DUMMYFUNCTION("""COMPUTED_VALUE"""),"Pemeliharaan Kendaraan Ringan Sistem Injeksi")</f>
        <v>Pemeliharaan Kendaraan Ringan Sistem Injeksi</v>
      </c>
      <c r="C593" s="6" t="str">
        <f>IFERROR(__xludf.DUMMYFUNCTION("""COMPUTED_VALUE"""),"SMK Negeri 2 Konawe")</f>
        <v>SMK Negeri 2 Konawe</v>
      </c>
      <c r="F593" s="6" t="str">
        <f>IFERROR(__xludf.DUMMYFUNCTION("""COMPUTED_VALUE"""),"FAHRI HARDIANSYAH")</f>
        <v>FAHRI HARDIANSYAH</v>
      </c>
      <c r="G593" s="6" t="str">
        <f>IFERROR(__xludf.DUMMYFUNCTION("""COMPUTED_VALUE"""),"7402192512070001")</f>
        <v>7402192512070001</v>
      </c>
      <c r="J593" s="7" t="str">
        <f>IFERROR(__xludf.DUMMYFUNCTION("""COMPUTED_VALUE"""),"LAKI-LAKI")</f>
        <v>LAKI-LAKI</v>
      </c>
      <c r="K593" s="6" t="str">
        <f>IFERROR(__xludf.DUMMYFUNCTION("""COMPUTED_VALUE"""),"Desa Wowasolo")</f>
        <v>Desa Wowasolo</v>
      </c>
      <c r="N593" s="8" t="s">
        <v>19</v>
      </c>
      <c r="R593" s="7" t="str">
        <f>IFERROR(__xludf.DUMMYFUNCTION("""COMPUTED_VALUE"""),"K")</f>
        <v>K</v>
      </c>
    </row>
    <row r="594" ht="22.5" customHeight="1">
      <c r="A594" s="6">
        <v>593.0</v>
      </c>
      <c r="B594" s="6" t="str">
        <f>IFERROR(__xludf.DUMMYFUNCTION("""COMPUTED_VALUE"""),"Pemeliharaan Kendaraan Ringan Sistem Injeksi")</f>
        <v>Pemeliharaan Kendaraan Ringan Sistem Injeksi</v>
      </c>
      <c r="C594" s="6" t="str">
        <f>IFERROR(__xludf.DUMMYFUNCTION("""COMPUTED_VALUE"""),"SMK Negeri 2 Konawe")</f>
        <v>SMK Negeri 2 Konawe</v>
      </c>
      <c r="F594" s="6" t="str">
        <f>IFERROR(__xludf.DUMMYFUNCTION("""COMPUTED_VALUE"""),"GALIH ASTO ANANDA")</f>
        <v>GALIH ASTO ANANDA</v>
      </c>
      <c r="G594" s="6" t="str">
        <f>IFERROR(__xludf.DUMMYFUNCTION("""COMPUTED_VALUE"""),"7402192008080001")</f>
        <v>7402192008080001</v>
      </c>
      <c r="J594" s="7" t="str">
        <f>IFERROR(__xludf.DUMMYFUNCTION("""COMPUTED_VALUE"""),"LAKI-LAKI")</f>
        <v>LAKI-LAKI</v>
      </c>
      <c r="K594" s="6" t="str">
        <f>IFERROR(__xludf.DUMMYFUNCTION("""COMPUTED_VALUE"""),"Jl. Betet, Desa Duriasi")</f>
        <v>Jl. Betet, Desa Duriasi</v>
      </c>
      <c r="N594" s="8" t="s">
        <v>19</v>
      </c>
      <c r="R594" s="7" t="str">
        <f>IFERROR(__xludf.DUMMYFUNCTION("""COMPUTED_VALUE"""),"BK")</f>
        <v>BK</v>
      </c>
    </row>
    <row r="595" ht="22.5" customHeight="1">
      <c r="A595" s="6">
        <v>594.0</v>
      </c>
      <c r="B595" s="6" t="str">
        <f>IFERROR(__xludf.DUMMYFUNCTION("""COMPUTED_VALUE"""),"Pemeliharaan Kendaraan Ringan Sistem Injeksi")</f>
        <v>Pemeliharaan Kendaraan Ringan Sistem Injeksi</v>
      </c>
      <c r="C595" s="6" t="str">
        <f>IFERROR(__xludf.DUMMYFUNCTION("""COMPUTED_VALUE"""),"SMK Negeri 2 Konawe")</f>
        <v>SMK Negeri 2 Konawe</v>
      </c>
      <c r="F595" s="6" t="str">
        <f>IFERROR(__xludf.DUMMYFUNCTION("""COMPUTED_VALUE"""),"GUSTI MADE ARTA YASA")</f>
        <v>GUSTI MADE ARTA YASA</v>
      </c>
      <c r="G595" s="6" t="str">
        <f>IFERROR(__xludf.DUMMYFUNCTION("""COMPUTED_VALUE"""),"7402151211070002")</f>
        <v>7402151211070002</v>
      </c>
      <c r="J595" s="7" t="str">
        <f>IFERROR(__xludf.DUMMYFUNCTION("""COMPUTED_VALUE"""),"LAKI-LAKI")</f>
        <v>LAKI-LAKI</v>
      </c>
      <c r="K595" s="6" t="str">
        <f>IFERROR(__xludf.DUMMYFUNCTION("""COMPUTED_VALUE"""),"Kel. Sendang Mulya Sari")</f>
        <v>Kel. Sendang Mulya Sari</v>
      </c>
      <c r="N595" s="8" t="s">
        <v>19</v>
      </c>
      <c r="R595" s="7" t="str">
        <f>IFERROR(__xludf.DUMMYFUNCTION("""COMPUTED_VALUE"""),"K")</f>
        <v>K</v>
      </c>
    </row>
    <row r="596" ht="22.5" customHeight="1">
      <c r="A596" s="6">
        <v>595.0</v>
      </c>
      <c r="B596" s="6" t="str">
        <f>IFERROR(__xludf.DUMMYFUNCTION("""COMPUTED_VALUE"""),"Pemeliharaan Kendaraan Ringan Sistem Injeksi")</f>
        <v>Pemeliharaan Kendaraan Ringan Sistem Injeksi</v>
      </c>
      <c r="C596" s="6" t="str">
        <f>IFERROR(__xludf.DUMMYFUNCTION("""COMPUTED_VALUE"""),"SMK Negeri 2 Konawe")</f>
        <v>SMK Negeri 2 Konawe</v>
      </c>
      <c r="F596" s="6" t="str">
        <f>IFERROR(__xludf.DUMMYFUNCTION("""COMPUTED_VALUE"""),"IKLAS SAPUTRA")</f>
        <v>IKLAS SAPUTRA</v>
      </c>
      <c r="G596" s="6" t="str">
        <f>IFERROR(__xludf.DUMMYFUNCTION("""COMPUTED_VALUE"""),"7402101612070001")</f>
        <v>7402101612070001</v>
      </c>
      <c r="J596" s="7" t="str">
        <f>IFERROR(__xludf.DUMMYFUNCTION("""COMPUTED_VALUE"""),"LAKI-LAKI")</f>
        <v>LAKI-LAKI</v>
      </c>
      <c r="K596" s="6" t="str">
        <f>IFERROR(__xludf.DUMMYFUNCTION("""COMPUTED_VALUE"""),"Desa Matahori, Kec. Padangguni")</f>
        <v>Desa Matahori, Kec. Padangguni</v>
      </c>
      <c r="N596" s="8" t="s">
        <v>19</v>
      </c>
      <c r="R596" s="7" t="str">
        <f>IFERROR(__xludf.DUMMYFUNCTION("""COMPUTED_VALUE"""),"K")</f>
        <v>K</v>
      </c>
    </row>
    <row r="597" ht="22.5" customHeight="1">
      <c r="A597" s="6">
        <v>596.0</v>
      </c>
      <c r="B597" s="6" t="str">
        <f>IFERROR(__xludf.DUMMYFUNCTION("""COMPUTED_VALUE"""),"Pemeliharaan Kendaraan Ringan Sistem Injeksi")</f>
        <v>Pemeliharaan Kendaraan Ringan Sistem Injeksi</v>
      </c>
      <c r="C597" s="6" t="str">
        <f>IFERROR(__xludf.DUMMYFUNCTION("""COMPUTED_VALUE"""),"SMK Negeri 2 Konawe")</f>
        <v>SMK Negeri 2 Konawe</v>
      </c>
      <c r="F597" s="6" t="str">
        <f>IFERROR(__xludf.DUMMYFUNCTION("""COMPUTED_VALUE"""),"JUAN PRAMANA PUTRA")</f>
        <v>JUAN PRAMANA PUTRA</v>
      </c>
      <c r="G597" s="6" t="str">
        <f>IFERROR(__xludf.DUMMYFUNCTION("""COMPUTED_VALUE"""),"7402020101060003")</f>
        <v>7402020101060003</v>
      </c>
      <c r="J597" s="7" t="str">
        <f>IFERROR(__xludf.DUMMYFUNCTION("""COMPUTED_VALUE"""),"LAKI-LAKI")</f>
        <v>LAKI-LAKI</v>
      </c>
      <c r="K597" s="6" t="str">
        <f>IFERROR(__xludf.DUMMYFUNCTION("""COMPUTED_VALUE"""),"Jl. Ade Irma Nasution")</f>
        <v>Jl. Ade Irma Nasution</v>
      </c>
      <c r="N597" s="8" t="s">
        <v>19</v>
      </c>
      <c r="R597" s="7" t="str">
        <f>IFERROR(__xludf.DUMMYFUNCTION("""COMPUTED_VALUE"""),"BK")</f>
        <v>BK</v>
      </c>
    </row>
    <row r="598" ht="22.5" customHeight="1">
      <c r="A598" s="6">
        <v>597.0</v>
      </c>
      <c r="B598" s="6" t="str">
        <f>IFERROR(__xludf.DUMMYFUNCTION("""COMPUTED_VALUE"""),"Pemeliharaan Kendaraan Ringan Sistem Injeksi")</f>
        <v>Pemeliharaan Kendaraan Ringan Sistem Injeksi</v>
      </c>
      <c r="C598" s="6" t="str">
        <f>IFERROR(__xludf.DUMMYFUNCTION("""COMPUTED_VALUE"""),"SMK Negeri 2 Konawe")</f>
        <v>SMK Negeri 2 Konawe</v>
      </c>
      <c r="F598" s="6" t="str">
        <f>IFERROR(__xludf.DUMMYFUNCTION("""COMPUTED_VALUE"""),"KEVIN FEBRIANSYAH")</f>
        <v>KEVIN FEBRIANSYAH</v>
      </c>
      <c r="G598" s="6" t="str">
        <f>IFERROR(__xludf.DUMMYFUNCTION("""COMPUTED_VALUE"""),"7402150702080001")</f>
        <v>7402150702080001</v>
      </c>
      <c r="J598" s="7" t="str">
        <f>IFERROR(__xludf.DUMMYFUNCTION("""COMPUTED_VALUE"""),"LAKI-LAKI")</f>
        <v>LAKI-LAKI</v>
      </c>
      <c r="K598" s="6" t="str">
        <f>IFERROR(__xludf.DUMMYFUNCTION("""COMPUTED_VALUE"""),"Sendang Mulyasari")</f>
        <v>Sendang Mulyasari</v>
      </c>
      <c r="N598" s="8" t="s">
        <v>19</v>
      </c>
      <c r="R598" s="7" t="str">
        <f>IFERROR(__xludf.DUMMYFUNCTION("""COMPUTED_VALUE"""),"K")</f>
        <v>K</v>
      </c>
    </row>
    <row r="599" ht="22.5" customHeight="1">
      <c r="A599" s="6">
        <v>598.0</v>
      </c>
      <c r="B599" s="6" t="str">
        <f>IFERROR(__xludf.DUMMYFUNCTION("""COMPUTED_VALUE"""),"Pemeliharaan Kendaraan Ringan Sistem Injeksi")</f>
        <v>Pemeliharaan Kendaraan Ringan Sistem Injeksi</v>
      </c>
      <c r="C599" s="6" t="str">
        <f>IFERROR(__xludf.DUMMYFUNCTION("""COMPUTED_VALUE"""),"SMK Negeri 2 Konawe")</f>
        <v>SMK Negeri 2 Konawe</v>
      </c>
      <c r="F599" s="6" t="str">
        <f>IFERROR(__xludf.DUMMYFUNCTION("""COMPUTED_VALUE"""),"MOHAMAT YUSUF JULIANTO")</f>
        <v>MOHAMAT YUSUF JULIANTO</v>
      </c>
      <c r="G599" s="6" t="str">
        <f>IFERROR(__xludf.DUMMYFUNCTION("""COMPUTED_VALUE"""),"7402020407070003")</f>
        <v>7402020407070003</v>
      </c>
      <c r="J599" s="7" t="str">
        <f>IFERROR(__xludf.DUMMYFUNCTION("""COMPUTED_VALUE"""),"LAKI-LAKI")</f>
        <v>LAKI-LAKI</v>
      </c>
      <c r="K599" s="6" t="str">
        <f>IFERROR(__xludf.DUMMYFUNCTION("""COMPUTED_VALUE"""),"Jln. Ronga, No. 30")</f>
        <v>Jln. Ronga, No. 30</v>
      </c>
      <c r="N599" s="8" t="s">
        <v>19</v>
      </c>
      <c r="R599" s="7" t="str">
        <f>IFERROR(__xludf.DUMMYFUNCTION("""COMPUTED_VALUE"""),"K")</f>
        <v>K</v>
      </c>
    </row>
    <row r="600" ht="22.5" customHeight="1">
      <c r="A600" s="6">
        <v>599.0</v>
      </c>
      <c r="B600" s="6" t="str">
        <f>IFERROR(__xludf.DUMMYFUNCTION("""COMPUTED_VALUE"""),"Pemeliharaan Kendaraan Ringan Sistem Injeksi")</f>
        <v>Pemeliharaan Kendaraan Ringan Sistem Injeksi</v>
      </c>
      <c r="C600" s="6" t="str">
        <f>IFERROR(__xludf.DUMMYFUNCTION("""COMPUTED_VALUE"""),"SMK Negeri 2 Konawe")</f>
        <v>SMK Negeri 2 Konawe</v>
      </c>
      <c r="F600" s="6" t="str">
        <f>IFERROR(__xludf.DUMMYFUNCTION("""COMPUTED_VALUE"""),"MUH. RASYA ARIANTO")</f>
        <v>MUH. RASYA ARIANTO</v>
      </c>
      <c r="G600" s="6" t="str">
        <f>IFERROR(__xludf.DUMMYFUNCTION("""COMPUTED_VALUE"""),"7402181603070002")</f>
        <v>7402181603070002</v>
      </c>
      <c r="J600" s="7" t="str">
        <f>IFERROR(__xludf.DUMMYFUNCTION("""COMPUTED_VALUE"""),"LAKI-LAKI")</f>
        <v>LAKI-LAKI</v>
      </c>
      <c r="K600" s="6" t="str">
        <f>IFERROR(__xludf.DUMMYFUNCTION("""COMPUTED_VALUE"""),"Jalan Delima, Lorong Balai Desa Langgomea")</f>
        <v>Jalan Delima, Lorong Balai Desa Langgomea</v>
      </c>
      <c r="N600" s="8" t="s">
        <v>19</v>
      </c>
      <c r="R600" s="7" t="str">
        <f>IFERROR(__xludf.DUMMYFUNCTION("""COMPUTED_VALUE"""),"K")</f>
        <v>K</v>
      </c>
    </row>
    <row r="601" ht="22.5" customHeight="1">
      <c r="A601" s="6">
        <v>600.0</v>
      </c>
      <c r="B601" s="6" t="str">
        <f>IFERROR(__xludf.DUMMYFUNCTION("""COMPUTED_VALUE"""),"Pemeliharaan Kendaraan Ringan Sistem Injeksi")</f>
        <v>Pemeliharaan Kendaraan Ringan Sistem Injeksi</v>
      </c>
      <c r="C601" s="6" t="str">
        <f>IFERROR(__xludf.DUMMYFUNCTION("""COMPUTED_VALUE"""),"SMK Negeri 2 Konawe")</f>
        <v>SMK Negeri 2 Konawe</v>
      </c>
      <c r="F601" s="6" t="str">
        <f>IFERROR(__xludf.DUMMYFUNCTION("""COMPUTED_VALUE"""),"MUHAMMAD FIKRI")</f>
        <v>MUHAMMAD FIKRI</v>
      </c>
      <c r="G601" s="6" t="str">
        <f>IFERROR(__xludf.DUMMYFUNCTION("""COMPUTED_VALUE"""),"7408060105080001")</f>
        <v>7408060105080001</v>
      </c>
      <c r="J601" s="7" t="str">
        <f>IFERROR(__xludf.DUMMYFUNCTION("""COMPUTED_VALUE"""),"LAKI-LAKI")</f>
        <v>LAKI-LAKI</v>
      </c>
      <c r="K601" s="6" t="str">
        <f>IFERROR(__xludf.DUMMYFUNCTION("""COMPUTED_VALUE"""),"Desa Puurau")</f>
        <v>Desa Puurau</v>
      </c>
      <c r="N601" s="8" t="s">
        <v>19</v>
      </c>
      <c r="R601" s="7" t="str">
        <f>IFERROR(__xludf.DUMMYFUNCTION("""COMPUTED_VALUE"""),"K")</f>
        <v>K</v>
      </c>
    </row>
    <row r="602" ht="22.5" customHeight="1">
      <c r="A602" s="6">
        <v>601.0</v>
      </c>
      <c r="B602" s="6" t="str">
        <f>IFERROR(__xludf.DUMMYFUNCTION("""COMPUTED_VALUE"""),"Pemeliharaan Kendaraan Ringan Sistem Injeksi")</f>
        <v>Pemeliharaan Kendaraan Ringan Sistem Injeksi</v>
      </c>
      <c r="C602" s="6" t="str">
        <f>IFERROR(__xludf.DUMMYFUNCTION("""COMPUTED_VALUE"""),"SMK Negeri 2 Konawe")</f>
        <v>SMK Negeri 2 Konawe</v>
      </c>
      <c r="F602" s="6" t="str">
        <f>IFERROR(__xludf.DUMMYFUNCTION("""COMPUTED_VALUE"""),"MUHAMMAD WAHID RIFAI")</f>
        <v>MUHAMMAD WAHID RIFAI</v>
      </c>
      <c r="G602" s="6" t="str">
        <f>IFERROR(__xludf.DUMMYFUNCTION("""COMPUTED_VALUE"""),"7402152402080002")</f>
        <v>7402152402080002</v>
      </c>
      <c r="J602" s="7" t="str">
        <f>IFERROR(__xludf.DUMMYFUNCTION("""COMPUTED_VALUE"""),"LAKI-LAKI")</f>
        <v>LAKI-LAKI</v>
      </c>
      <c r="K602" s="6" t="str">
        <f>IFERROR(__xludf.DUMMYFUNCTION("""COMPUTED_VALUE"""),"Ambepulu")</f>
        <v>Ambepulu</v>
      </c>
      <c r="N602" s="8" t="s">
        <v>19</v>
      </c>
      <c r="R602" s="7" t="str">
        <f>IFERROR(__xludf.DUMMYFUNCTION("""COMPUTED_VALUE"""),"K")</f>
        <v>K</v>
      </c>
    </row>
    <row r="603" ht="22.5" customHeight="1">
      <c r="A603" s="6">
        <v>602.0</v>
      </c>
      <c r="B603" s="6" t="str">
        <f>IFERROR(__xludf.DUMMYFUNCTION("""COMPUTED_VALUE"""),"Pemeliharaan Kendaraan Ringan Sistem Injeksi")</f>
        <v>Pemeliharaan Kendaraan Ringan Sistem Injeksi</v>
      </c>
      <c r="C603" s="6" t="str">
        <f>IFERROR(__xludf.DUMMYFUNCTION("""COMPUTED_VALUE"""),"SMK Negeri 2 Konawe")</f>
        <v>SMK Negeri 2 Konawe</v>
      </c>
      <c r="F603" s="6" t="str">
        <f>IFERROR(__xludf.DUMMYFUNCTION("""COMPUTED_VALUE"""),"NASAR")</f>
        <v>NASAR</v>
      </c>
      <c r="G603" s="6" t="str">
        <f>IFERROR(__xludf.DUMMYFUNCTION("""COMPUTED_VALUE"""),"7402323112060002")</f>
        <v>7402323112060002</v>
      </c>
      <c r="J603" s="7" t="str">
        <f>IFERROR(__xludf.DUMMYFUNCTION("""COMPUTED_VALUE"""),"LAKI-LAKI")</f>
        <v>LAKI-LAKI</v>
      </c>
      <c r="K603" s="6" t="str">
        <f>IFERROR(__xludf.DUMMYFUNCTION("""COMPUTED_VALUE"""),"Kel. Konawe. kab, Konawe")</f>
        <v>Kel. Konawe. kab, Konawe</v>
      </c>
      <c r="N603" s="8" t="s">
        <v>19</v>
      </c>
      <c r="R603" s="7" t="str">
        <f>IFERROR(__xludf.DUMMYFUNCTION("""COMPUTED_VALUE"""),"BK")</f>
        <v>BK</v>
      </c>
    </row>
    <row r="604" ht="22.5" customHeight="1">
      <c r="A604" s="6">
        <v>603.0</v>
      </c>
      <c r="B604" s="6" t="str">
        <f>IFERROR(__xludf.DUMMYFUNCTION("""COMPUTED_VALUE"""),"Pemeliharaan Kendaraan Ringan Sistem Injeksi")</f>
        <v>Pemeliharaan Kendaraan Ringan Sistem Injeksi</v>
      </c>
      <c r="C604" s="6" t="str">
        <f>IFERROR(__xludf.DUMMYFUNCTION("""COMPUTED_VALUE"""),"SMK Negeri 2 Konawe")</f>
        <v>SMK Negeri 2 Konawe</v>
      </c>
      <c r="F604" s="6" t="str">
        <f>IFERROR(__xludf.DUMMYFUNCTION("""COMPUTED_VALUE"""),"PENDI ALMAHI")</f>
        <v>PENDI ALMAHI</v>
      </c>
      <c r="G604" s="6" t="str">
        <f>IFERROR(__xludf.DUMMYFUNCTION("""COMPUTED_VALUE"""),"7402150107080002")</f>
        <v>7402150107080002</v>
      </c>
      <c r="J604" s="7" t="str">
        <f>IFERROR(__xludf.DUMMYFUNCTION("""COMPUTED_VALUE"""),"LAKI-LAKI")</f>
        <v>LAKI-LAKI</v>
      </c>
      <c r="K604" s="6" t="str">
        <f>IFERROR(__xludf.DUMMYFUNCTION("""COMPUTED_VALUE"""),"Ambepulu")</f>
        <v>Ambepulu</v>
      </c>
      <c r="N604" s="8" t="s">
        <v>19</v>
      </c>
      <c r="R604" s="7" t="str">
        <f>IFERROR(__xludf.DUMMYFUNCTION("""COMPUTED_VALUE"""),"K")</f>
        <v>K</v>
      </c>
    </row>
    <row r="605" ht="22.5" customHeight="1">
      <c r="A605" s="6">
        <v>604.0</v>
      </c>
      <c r="B605" s="6" t="str">
        <f>IFERROR(__xludf.DUMMYFUNCTION("""COMPUTED_VALUE"""),"Pemeliharaan Kendaraan Ringan Sistem Injeksi")</f>
        <v>Pemeliharaan Kendaraan Ringan Sistem Injeksi</v>
      </c>
      <c r="C605" s="6" t="str">
        <f>IFERROR(__xludf.DUMMYFUNCTION("""COMPUTED_VALUE"""),"SMK Negeri 2 Konawe")</f>
        <v>SMK Negeri 2 Konawe</v>
      </c>
      <c r="F605" s="6" t="str">
        <f>IFERROR(__xludf.DUMMYFUNCTION("""COMPUTED_VALUE"""),"RAHMAD DANI")</f>
        <v>RAHMAD DANI</v>
      </c>
      <c r="G605" s="6" t="str">
        <f>IFERROR(__xludf.DUMMYFUNCTION("""COMPUTED_VALUE"""),"7402152509080002")</f>
        <v>7402152509080002</v>
      </c>
      <c r="J605" s="7" t="str">
        <f>IFERROR(__xludf.DUMMYFUNCTION("""COMPUTED_VALUE"""),"LAKI-LAKI")</f>
        <v>LAKI-LAKI</v>
      </c>
      <c r="K605" s="6" t="str">
        <f>IFERROR(__xludf.DUMMYFUNCTION("""COMPUTED_VALUE"""),"Andeposandu")</f>
        <v>Andeposandu</v>
      </c>
      <c r="N605" s="8" t="s">
        <v>19</v>
      </c>
      <c r="R605" s="7" t="str">
        <f>IFERROR(__xludf.DUMMYFUNCTION("""COMPUTED_VALUE"""),"K")</f>
        <v>K</v>
      </c>
    </row>
    <row r="606" ht="22.5" customHeight="1">
      <c r="A606" s="6">
        <v>605.0</v>
      </c>
      <c r="B606" s="6" t="str">
        <f>IFERROR(__xludf.DUMMYFUNCTION("""COMPUTED_VALUE"""),"Pemeliharaan Kendaraan Ringan Sistem Injeksi")</f>
        <v>Pemeliharaan Kendaraan Ringan Sistem Injeksi</v>
      </c>
      <c r="C606" s="6" t="str">
        <f>IFERROR(__xludf.DUMMYFUNCTION("""COMPUTED_VALUE"""),"SMK Negeri 2 Konawe")</f>
        <v>SMK Negeri 2 Konawe</v>
      </c>
      <c r="F606" s="6" t="str">
        <f>IFERROR(__xludf.DUMMYFUNCTION("""COMPUTED_VALUE"""),"RAMA SEPTIAWAN")</f>
        <v>RAMA SEPTIAWAN</v>
      </c>
      <c r="G606" s="6" t="str">
        <f>IFERROR(__xludf.DUMMYFUNCTION("""COMPUTED_VALUE"""),"7402152409070001")</f>
        <v>7402152409070001</v>
      </c>
      <c r="J606" s="7" t="str">
        <f>IFERROR(__xludf.DUMMYFUNCTION("""COMPUTED_VALUE"""),"LAKI-LAKI")</f>
        <v>LAKI-LAKI</v>
      </c>
      <c r="K606" s="6" t="str">
        <f>IFERROR(__xludf.DUMMYFUNCTION("""COMPUTED_VALUE"""),"Sendang Mulya Sari")</f>
        <v>Sendang Mulya Sari</v>
      </c>
      <c r="N606" s="8" t="s">
        <v>19</v>
      </c>
      <c r="R606" s="7" t="str">
        <f>IFERROR(__xludf.DUMMYFUNCTION("""COMPUTED_VALUE"""),"K")</f>
        <v>K</v>
      </c>
    </row>
    <row r="607" ht="22.5" customHeight="1">
      <c r="A607" s="6">
        <v>606.0</v>
      </c>
      <c r="B607" s="6" t="str">
        <f>IFERROR(__xludf.DUMMYFUNCTION("""COMPUTED_VALUE"""),"Pemeliharaan Kendaraan Ringan Sistem Injeksi")</f>
        <v>Pemeliharaan Kendaraan Ringan Sistem Injeksi</v>
      </c>
      <c r="C607" s="6" t="str">
        <f>IFERROR(__xludf.DUMMYFUNCTION("""COMPUTED_VALUE"""),"SMK Negeri 2 Konawe")</f>
        <v>SMK Negeri 2 Konawe</v>
      </c>
      <c r="F607" s="6" t="str">
        <f>IFERROR(__xludf.DUMMYFUNCTION("""COMPUTED_VALUE"""),"REZA PUTRA MELAMBA")</f>
        <v>REZA PUTRA MELAMBA</v>
      </c>
      <c r="G607" s="6" t="str">
        <f>IFERROR(__xludf.DUMMYFUNCTION("""COMPUTED_VALUE"""),"7402320207080004")</f>
        <v>7402320207080004</v>
      </c>
      <c r="J607" s="7" t="str">
        <f>IFERROR(__xludf.DUMMYFUNCTION("""COMPUTED_VALUE"""),"LAKI-LAKI")</f>
        <v>LAKI-LAKI</v>
      </c>
      <c r="K607" s="6" t="str">
        <f>IFERROR(__xludf.DUMMYFUNCTION("""COMPUTED_VALUE"""),"Kel. Konawe, Kec. Konawe, Kab. Konawe")</f>
        <v>Kel. Konawe, Kec. Konawe, Kab. Konawe</v>
      </c>
      <c r="N607" s="8" t="s">
        <v>19</v>
      </c>
      <c r="R607" s="7" t="str">
        <f>IFERROR(__xludf.DUMMYFUNCTION("""COMPUTED_VALUE"""),"K")</f>
        <v>K</v>
      </c>
    </row>
    <row r="608" ht="22.5" customHeight="1">
      <c r="A608" s="6">
        <v>607.0</v>
      </c>
      <c r="B608" s="6" t="str">
        <f>IFERROR(__xludf.DUMMYFUNCTION("""COMPUTED_VALUE"""),"Pemeliharaan Kendaraan Ringan Sistem Injeksi")</f>
        <v>Pemeliharaan Kendaraan Ringan Sistem Injeksi</v>
      </c>
      <c r="C608" s="6" t="str">
        <f>IFERROR(__xludf.DUMMYFUNCTION("""COMPUTED_VALUE"""),"SMK Negeri 2 Konawe")</f>
        <v>SMK Negeri 2 Konawe</v>
      </c>
      <c r="F608" s="6" t="str">
        <f>IFERROR(__xludf.DUMMYFUNCTION("""COMPUTED_VALUE"""),"REZKY ADITYA")</f>
        <v>REZKY ADITYA</v>
      </c>
      <c r="G608" s="6" t="str">
        <f>IFERROR(__xludf.DUMMYFUNCTION("""COMPUTED_VALUE"""),"7402021503080002")</f>
        <v>7402021503080002</v>
      </c>
      <c r="J608" s="7" t="str">
        <f>IFERROR(__xludf.DUMMYFUNCTION("""COMPUTED_VALUE"""),"LAKI-LAKI")</f>
        <v>LAKI-LAKI</v>
      </c>
      <c r="K608" s="6" t="str">
        <f>IFERROR(__xludf.DUMMYFUNCTION("""COMPUTED_VALUE"""),"Kel. Puunaaha, Kec. Unaaha")</f>
        <v>Kel. Puunaaha, Kec. Unaaha</v>
      </c>
      <c r="N608" s="8" t="s">
        <v>19</v>
      </c>
      <c r="R608" s="7" t="str">
        <f>IFERROR(__xludf.DUMMYFUNCTION("""COMPUTED_VALUE"""),"K")</f>
        <v>K</v>
      </c>
    </row>
    <row r="609" ht="22.5" customHeight="1">
      <c r="A609" s="6">
        <v>608.0</v>
      </c>
      <c r="B609" s="6" t="str">
        <f>IFERROR(__xludf.DUMMYFUNCTION("""COMPUTED_VALUE"""),"Pemeliharaan Kendaraan Ringan Sistem Injeksi")</f>
        <v>Pemeliharaan Kendaraan Ringan Sistem Injeksi</v>
      </c>
      <c r="C609" s="6" t="str">
        <f>IFERROR(__xludf.DUMMYFUNCTION("""COMPUTED_VALUE"""),"SMK Negeri 2 Konawe")</f>
        <v>SMK Negeri 2 Konawe</v>
      </c>
      <c r="F609" s="6" t="str">
        <f>IFERROR(__xludf.DUMMYFUNCTION("""COMPUTED_VALUE"""),"RISKY PEBRIANSYAH")</f>
        <v>RISKY PEBRIANSYAH</v>
      </c>
      <c r="G609" s="6" t="str">
        <f>IFERROR(__xludf.DUMMYFUNCTION("""COMPUTED_VALUE"""),"7402240302080001")</f>
        <v>7402240302080001</v>
      </c>
      <c r="J609" s="7" t="str">
        <f>IFERROR(__xludf.DUMMYFUNCTION("""COMPUTED_VALUE"""),"LAKI-LAKI")</f>
        <v>LAKI-LAKI</v>
      </c>
      <c r="K609" s="6" t="str">
        <f>IFERROR(__xludf.DUMMYFUNCTION("""COMPUTED_VALUE"""),"Kelurahan Parauna")</f>
        <v>Kelurahan Parauna</v>
      </c>
      <c r="N609" s="8" t="s">
        <v>19</v>
      </c>
      <c r="R609" s="7" t="str">
        <f>IFERROR(__xludf.DUMMYFUNCTION("""COMPUTED_VALUE"""),"K")</f>
        <v>K</v>
      </c>
    </row>
    <row r="610" ht="22.5" customHeight="1">
      <c r="A610" s="6">
        <v>609.0</v>
      </c>
      <c r="B610" s="6" t="str">
        <f>IFERROR(__xludf.DUMMYFUNCTION("""COMPUTED_VALUE"""),"Pemeliharaan Kendaraan Ringan Sistem Injeksi")</f>
        <v>Pemeliharaan Kendaraan Ringan Sistem Injeksi</v>
      </c>
      <c r="C610" s="6" t="str">
        <f>IFERROR(__xludf.DUMMYFUNCTION("""COMPUTED_VALUE"""),"SMK Negeri 2 Konawe")</f>
        <v>SMK Negeri 2 Konawe</v>
      </c>
      <c r="F610" s="6" t="str">
        <f>IFERROR(__xludf.DUMMYFUNCTION("""COMPUTED_VALUE"""),"SULFAN AL FANDI")</f>
        <v>SULFAN AL FANDI</v>
      </c>
      <c r="G610" s="6" t="str">
        <f>IFERROR(__xludf.DUMMYFUNCTION("""COMPUTED_VALUE"""),"7402311907080001")</f>
        <v>7402311907080001</v>
      </c>
      <c r="J610" s="7" t="str">
        <f>IFERROR(__xludf.DUMMYFUNCTION("""COMPUTED_VALUE"""),"LAKI-LAKI")</f>
        <v>LAKI-LAKI</v>
      </c>
      <c r="K610" s="6" t="str">
        <f>IFERROR(__xludf.DUMMYFUNCTION("""COMPUTED_VALUE"""),"Desa Nekuku")</f>
        <v>Desa Nekuku</v>
      </c>
      <c r="N610" s="8" t="s">
        <v>19</v>
      </c>
      <c r="R610" s="7" t="str">
        <f>IFERROR(__xludf.DUMMYFUNCTION("""COMPUTED_VALUE"""),"K")</f>
        <v>K</v>
      </c>
    </row>
    <row r="611" ht="22.5" customHeight="1">
      <c r="A611" s="6">
        <v>610.0</v>
      </c>
      <c r="B611" s="6" t="str">
        <f>IFERROR(__xludf.DUMMYFUNCTION("""COMPUTED_VALUE"""),"Pemeliharaan Kendaraan Ringan Sistem Injeksi")</f>
        <v>Pemeliharaan Kendaraan Ringan Sistem Injeksi</v>
      </c>
      <c r="C611" s="6" t="str">
        <f>IFERROR(__xludf.DUMMYFUNCTION("""COMPUTED_VALUE"""),"SMK Negeri 2 Konawe")</f>
        <v>SMK Negeri 2 Konawe</v>
      </c>
      <c r="F611" s="6" t="str">
        <f>IFERROR(__xludf.DUMMYFUNCTION("""COMPUTED_VALUE"""),"ADRIAN SAHPUTRA")</f>
        <v>ADRIAN SAHPUTRA</v>
      </c>
      <c r="G611" s="6" t="str">
        <f>IFERROR(__xludf.DUMMYFUNCTION("""COMPUTED_VALUE"""),"7402020606860003")</f>
        <v>7402020606860003</v>
      </c>
      <c r="J611" s="7" t="str">
        <f>IFERROR(__xludf.DUMMYFUNCTION("""COMPUTED_VALUE"""),"LAKI-LAKI")</f>
        <v>LAKI-LAKI</v>
      </c>
      <c r="K611" s="6" t="str">
        <f>IFERROR(__xludf.DUMMYFUNCTION("""COMPUTED_VALUE"""),"Jln. Ir. Sukarno, Kel. Tumpas, Kec. Unaaha. Konawe")</f>
        <v>Jln. Ir. Sukarno, Kel. Tumpas, Kec. Unaaha. Konawe</v>
      </c>
      <c r="N611" s="8" t="s">
        <v>19</v>
      </c>
      <c r="R611" s="7" t="str">
        <f>IFERROR(__xludf.DUMMYFUNCTION("""COMPUTED_VALUE"""),"K")</f>
        <v>K</v>
      </c>
    </row>
    <row r="612" ht="22.5" customHeight="1">
      <c r="A612" s="6">
        <v>611.0</v>
      </c>
      <c r="B612" s="6" t="str">
        <f>IFERROR(__xludf.DUMMYFUNCTION("""COMPUTED_VALUE"""),"Pemeliharaan Kendaraan Ringan Sistem Injeksi")</f>
        <v>Pemeliharaan Kendaraan Ringan Sistem Injeksi</v>
      </c>
      <c r="C612" s="6" t="str">
        <f>IFERROR(__xludf.DUMMYFUNCTION("""COMPUTED_VALUE"""),"SMK Negeri 2 Konawe")</f>
        <v>SMK Negeri 2 Konawe</v>
      </c>
      <c r="F612" s="6" t="str">
        <f>IFERROR(__xludf.DUMMYFUNCTION("""COMPUTED_VALUE"""),"GUSTI HIMAWAN KADIYANTO")</f>
        <v>GUSTI HIMAWAN KADIYANTO</v>
      </c>
      <c r="G612" s="6" t="str">
        <f>IFERROR(__xludf.DUMMYFUNCTION("""COMPUTED_VALUE"""),"7172022608000001")</f>
        <v>7172022608000001</v>
      </c>
      <c r="J612" s="7" t="str">
        <f>IFERROR(__xludf.DUMMYFUNCTION("""COMPUTED_VALUE"""),"LAKI-LAKI")</f>
        <v>LAKI-LAKI</v>
      </c>
      <c r="K612" s="6" t="str">
        <f>IFERROR(__xludf.DUMMYFUNCTION("""COMPUTED_VALUE"""),"Jln. Konggoasa")</f>
        <v>Jln. Konggoasa</v>
      </c>
      <c r="N612" s="8" t="s">
        <v>19</v>
      </c>
      <c r="R612" s="7" t="str">
        <f>IFERROR(__xludf.DUMMYFUNCTION("""COMPUTED_VALUE"""),"K")</f>
        <v>K</v>
      </c>
    </row>
    <row r="613" ht="22.5" customHeight="1">
      <c r="A613" s="6">
        <v>612.0</v>
      </c>
      <c r="B613" s="6" t="str">
        <f>IFERROR(__xludf.DUMMYFUNCTION("""COMPUTED_VALUE"""),"Pemeliharaan Kendaraan Ringan Sistem Injeksi")</f>
        <v>Pemeliharaan Kendaraan Ringan Sistem Injeksi</v>
      </c>
      <c r="C613" s="6" t="str">
        <f>IFERROR(__xludf.DUMMYFUNCTION("""COMPUTED_VALUE"""),"SMK Negeri 2 Konawe")</f>
        <v>SMK Negeri 2 Konawe</v>
      </c>
      <c r="F613" s="6" t="str">
        <f>IFERROR(__xludf.DUMMYFUNCTION("""COMPUTED_VALUE"""),"ARHAM AMIRUDDIN")</f>
        <v>ARHAM AMIRUDDIN</v>
      </c>
      <c r="G613" s="6" t="str">
        <f>IFERROR(__xludf.DUMMYFUNCTION("""COMPUTED_VALUE"""),"7371122808830002")</f>
        <v>7371122808830002</v>
      </c>
      <c r="J613" s="7" t="str">
        <f>IFERROR(__xludf.DUMMYFUNCTION("""COMPUTED_VALUE"""),"LAKI-LAKI")</f>
        <v>LAKI-LAKI</v>
      </c>
      <c r="K613" s="6" t="str">
        <f>IFERROR(__xludf.DUMMYFUNCTION("""COMPUTED_VALUE"""),"Ambekaini")</f>
        <v>Ambekaini</v>
      </c>
      <c r="N613" s="8" t="s">
        <v>19</v>
      </c>
      <c r="R613" s="7" t="str">
        <f>IFERROR(__xludf.DUMMYFUNCTION("""COMPUTED_VALUE"""),"K")</f>
        <v>K</v>
      </c>
    </row>
    <row r="614" ht="22.5" customHeight="1">
      <c r="A614" s="6">
        <v>613.0</v>
      </c>
      <c r="B614" s="6" t="str">
        <f>IFERROR(__xludf.DUMMYFUNCTION("""COMPUTED_VALUE"""),"Pemeliharaan Kendaraan Ringan Sistem Injeksi")</f>
        <v>Pemeliharaan Kendaraan Ringan Sistem Injeksi</v>
      </c>
      <c r="C614" s="6" t="str">
        <f>IFERROR(__xludf.DUMMYFUNCTION("""COMPUTED_VALUE"""),"SMK Negeri 2 Konawe")</f>
        <v>SMK Negeri 2 Konawe</v>
      </c>
      <c r="F614" s="6" t="str">
        <f>IFERROR(__xludf.DUMMYFUNCTION("""COMPUTED_VALUE"""),"HISWAN PAGALA")</f>
        <v>HISWAN PAGALA</v>
      </c>
      <c r="G614" s="6" t="str">
        <f>IFERROR(__xludf.DUMMYFUNCTION("""COMPUTED_VALUE"""),"7402150708920003")</f>
        <v>7402150708920003</v>
      </c>
      <c r="J614" s="7" t="str">
        <f>IFERROR(__xludf.DUMMYFUNCTION("""COMPUTED_VALUE"""),"LAKI-LAKI")</f>
        <v>LAKI-LAKI</v>
      </c>
      <c r="K614" s="6" t="str">
        <f>IFERROR(__xludf.DUMMYFUNCTION("""COMPUTED_VALUE"""),"Desa puundombi, Kec. Tongauna Utara")</f>
        <v>Desa puundombi, Kec. Tongauna Utara</v>
      </c>
      <c r="N614" s="8" t="s">
        <v>19</v>
      </c>
      <c r="R614" s="7" t="str">
        <f>IFERROR(__xludf.DUMMYFUNCTION("""COMPUTED_VALUE"""),"K")</f>
        <v>K</v>
      </c>
    </row>
    <row r="615" ht="22.5" customHeight="1">
      <c r="A615" s="6">
        <v>614.0</v>
      </c>
      <c r="B615" s="6" t="str">
        <f>IFERROR(__xludf.DUMMYFUNCTION("""COMPUTED_VALUE"""),"Pemeliharaan Kendaraan Ringan Sistem Injeksi")</f>
        <v>Pemeliharaan Kendaraan Ringan Sistem Injeksi</v>
      </c>
      <c r="C615" s="6" t="str">
        <f>IFERROR(__xludf.DUMMYFUNCTION("""COMPUTED_VALUE"""),"SMK Negeri 2 Konawe")</f>
        <v>SMK Negeri 2 Konawe</v>
      </c>
      <c r="F615" s="6" t="str">
        <f>IFERROR(__xludf.DUMMYFUNCTION("""COMPUTED_VALUE"""),"ANDI ASRUL UMAR")</f>
        <v>ANDI ASRUL UMAR</v>
      </c>
      <c r="G615" s="6" t="str">
        <f>IFERROR(__xludf.DUMMYFUNCTION("""COMPUTED_VALUE"""),"7402020710790002")</f>
        <v>7402020710790002</v>
      </c>
      <c r="J615" s="7" t="str">
        <f>IFERROR(__xludf.DUMMYFUNCTION("""COMPUTED_VALUE"""),"LAKI-LAKI")</f>
        <v>LAKI-LAKI</v>
      </c>
      <c r="K615" s="6"/>
      <c r="N615" s="8" t="s">
        <v>19</v>
      </c>
      <c r="R615" s="7" t="str">
        <f>IFERROR(__xludf.DUMMYFUNCTION("""COMPUTED_VALUE"""),"K")</f>
        <v>K</v>
      </c>
    </row>
    <row r="616" ht="22.5" customHeight="1">
      <c r="A616" s="6">
        <v>615.0</v>
      </c>
      <c r="B616" s="6" t="str">
        <f>IFERROR(__xludf.DUMMYFUNCTION("""COMPUTED_VALUE"""),"Merakit Komponen Fabrikasi")</f>
        <v>Merakit Komponen Fabrikasi</v>
      </c>
      <c r="C616" s="6" t="str">
        <f>IFERROR(__xludf.DUMMYFUNCTION("""COMPUTED_VALUE"""),"SMKS Kelautan dan Perikanan Raha")</f>
        <v>SMKS Kelautan dan Perikanan Raha</v>
      </c>
      <c r="F616" s="6" t="str">
        <f>IFERROR(__xludf.DUMMYFUNCTION("""COMPUTED_VALUE"""),"ABD. HAKIM")</f>
        <v>ABD. HAKIM</v>
      </c>
      <c r="G616" s="6" t="str">
        <f>IFERROR(__xludf.DUMMYFUNCTION("""COMPUTED_VALUE"""),"7471030402780001")</f>
        <v>7471030402780001</v>
      </c>
      <c r="J616" s="7" t="str">
        <f>IFERROR(__xludf.DUMMYFUNCTION("""COMPUTED_VALUE"""),"LAKI-LAKI")</f>
        <v>LAKI-LAKI</v>
      </c>
      <c r="K616" s="6"/>
      <c r="N616" s="8" t="s">
        <v>19</v>
      </c>
      <c r="R616" s="7" t="str">
        <f>IFERROR(__xludf.DUMMYFUNCTION("""COMPUTED_VALUE"""),"BK")</f>
        <v>BK</v>
      </c>
    </row>
    <row r="617" ht="22.5" customHeight="1">
      <c r="A617" s="6">
        <v>616.0</v>
      </c>
      <c r="B617" s="6" t="str">
        <f>IFERROR(__xludf.DUMMYFUNCTION("""COMPUTED_VALUE"""),"Merakit Komponen Fabrikasi")</f>
        <v>Merakit Komponen Fabrikasi</v>
      </c>
      <c r="C617" s="6" t="str">
        <f>IFERROR(__xludf.DUMMYFUNCTION("""COMPUTED_VALUE"""),"SMKS Kelautan dan Perikanan Raha")</f>
        <v>SMKS Kelautan dan Perikanan Raha</v>
      </c>
      <c r="F617" s="6" t="str">
        <f>IFERROR(__xludf.DUMMYFUNCTION("""COMPUTED_VALUE"""),"ALANG SAPUTRA")</f>
        <v>ALANG SAPUTRA</v>
      </c>
      <c r="G617" s="6" t="str">
        <f>IFERROR(__xludf.DUMMYFUNCTION("""COMPUTED_VALUE"""),"7403150107060213")</f>
        <v>7403150107060213</v>
      </c>
      <c r="J617" s="7" t="str">
        <f>IFERROR(__xludf.DUMMYFUNCTION("""COMPUTED_VALUE"""),"LAKI-LAKI")</f>
        <v>LAKI-LAKI</v>
      </c>
      <c r="K617" s="6" t="str">
        <f>IFERROR(__xludf.DUMMYFUNCTION("""COMPUTED_VALUE"""),"Lapodidi, Kec. Kontunaga, Kab. Muna, Prov. Sultra")</f>
        <v>Lapodidi, Kec. Kontunaga, Kab. Muna, Prov. Sultra</v>
      </c>
      <c r="N617" s="8" t="s">
        <v>19</v>
      </c>
      <c r="R617" s="7" t="str">
        <f>IFERROR(__xludf.DUMMYFUNCTION("""COMPUTED_VALUE"""),"K")</f>
        <v>K</v>
      </c>
    </row>
    <row r="618" ht="22.5" customHeight="1">
      <c r="A618" s="6">
        <v>617.0</v>
      </c>
      <c r="B618" s="6" t="str">
        <f>IFERROR(__xludf.DUMMYFUNCTION("""COMPUTED_VALUE"""),"Merakit Komponen Fabrikasi")</f>
        <v>Merakit Komponen Fabrikasi</v>
      </c>
      <c r="C618" s="6" t="str">
        <f>IFERROR(__xludf.DUMMYFUNCTION("""COMPUTED_VALUE"""),"SMKS Kelautan dan Perikanan Raha")</f>
        <v>SMKS Kelautan dan Perikanan Raha</v>
      </c>
      <c r="F618" s="6" t="str">
        <f>IFERROR(__xludf.DUMMYFUNCTION("""COMPUTED_VALUE"""),"AMSAR")</f>
        <v>AMSAR</v>
      </c>
      <c r="G618" s="6" t="str">
        <f>IFERROR(__xludf.DUMMYFUNCTION("""COMPUTED_VALUE"""),"7403331311760001")</f>
        <v>7403331311760001</v>
      </c>
      <c r="J618" s="7" t="str">
        <f>IFERROR(__xludf.DUMMYFUNCTION("""COMPUTED_VALUE"""),"LAKI-LAKI")</f>
        <v>LAKI-LAKI</v>
      </c>
      <c r="K618" s="6" t="str">
        <f>IFERROR(__xludf.DUMMYFUNCTION("""COMPUTED_VALUE"""),"Kel. Wali")</f>
        <v>Kel. Wali</v>
      </c>
      <c r="N618" s="8" t="s">
        <v>19</v>
      </c>
      <c r="R618" s="7" t="str">
        <f>IFERROR(__xludf.DUMMYFUNCTION("""COMPUTED_VALUE"""),"K")</f>
        <v>K</v>
      </c>
    </row>
    <row r="619" ht="22.5" customHeight="1">
      <c r="A619" s="6">
        <v>618.0</v>
      </c>
      <c r="B619" s="6" t="str">
        <f>IFERROR(__xludf.DUMMYFUNCTION("""COMPUTED_VALUE"""),"Merakit Komponen Fabrikasi")</f>
        <v>Merakit Komponen Fabrikasi</v>
      </c>
      <c r="C619" s="6" t="str">
        <f>IFERROR(__xludf.DUMMYFUNCTION("""COMPUTED_VALUE"""),"SMKS Kelautan dan Perikanan Raha")</f>
        <v>SMKS Kelautan dan Perikanan Raha</v>
      </c>
      <c r="F619" s="6" t="str">
        <f>IFERROR(__xludf.DUMMYFUNCTION("""COMPUTED_VALUE"""),"ANDIKA")</f>
        <v>ANDIKA</v>
      </c>
      <c r="G619" s="6" t="str">
        <f>IFERROR(__xludf.DUMMYFUNCTION("""COMPUTED_VALUE"""),"7403192104080003")</f>
        <v>7403192104080003</v>
      </c>
      <c r="J619" s="7" t="str">
        <f>IFERROR(__xludf.DUMMYFUNCTION("""COMPUTED_VALUE"""),"LAKI-LAKI")</f>
        <v>LAKI-LAKI</v>
      </c>
      <c r="K619" s="6" t="str">
        <f>IFERROR(__xludf.DUMMYFUNCTION("""COMPUTED_VALUE"""),"Kelurahan Dana")</f>
        <v>Kelurahan Dana</v>
      </c>
      <c r="N619" s="8" t="s">
        <v>19</v>
      </c>
      <c r="R619" s="7" t="str">
        <f>IFERROR(__xludf.DUMMYFUNCTION("""COMPUTED_VALUE"""),"BK")</f>
        <v>BK</v>
      </c>
    </row>
    <row r="620" ht="22.5" customHeight="1">
      <c r="A620" s="6">
        <v>619.0</v>
      </c>
      <c r="B620" s="6" t="str">
        <f>IFERROR(__xludf.DUMMYFUNCTION("""COMPUTED_VALUE"""),"Merakit Komponen Fabrikasi")</f>
        <v>Merakit Komponen Fabrikasi</v>
      </c>
      <c r="C620" s="6" t="str">
        <f>IFERROR(__xludf.DUMMYFUNCTION("""COMPUTED_VALUE"""),"SMKS Kelautan dan Perikanan Raha")</f>
        <v>SMKS Kelautan dan Perikanan Raha</v>
      </c>
      <c r="F620" s="6" t="str">
        <f>IFERROR(__xludf.DUMMYFUNCTION("""COMPUTED_VALUE"""),"ANDRIAN FORESTER")</f>
        <v>ANDRIAN FORESTER</v>
      </c>
      <c r="G620" s="6" t="str">
        <f>IFERROR(__xludf.DUMMYFUNCTION("""COMPUTED_VALUE"""),"7403176509070201")</f>
        <v>7403176509070201</v>
      </c>
      <c r="J620" s="7" t="str">
        <f>IFERROR(__xludf.DUMMYFUNCTION("""COMPUTED_VALUE"""),"PEREMPUAN")</f>
        <v>PEREMPUAN</v>
      </c>
      <c r="K620" s="6" t="str">
        <f>IFERROR(__xludf.DUMMYFUNCTION("""COMPUTED_VALUE"""),"Desa Lindo")</f>
        <v>Desa Lindo</v>
      </c>
      <c r="N620" s="8" t="s">
        <v>19</v>
      </c>
      <c r="R620" s="7" t="str">
        <f>IFERROR(__xludf.DUMMYFUNCTION("""COMPUTED_VALUE"""),"BK")</f>
        <v>BK</v>
      </c>
    </row>
    <row r="621" ht="22.5" customHeight="1">
      <c r="A621" s="6">
        <v>620.0</v>
      </c>
      <c r="B621" s="6" t="str">
        <f>IFERROR(__xludf.DUMMYFUNCTION("""COMPUTED_VALUE"""),"Merakit Komponen Fabrikasi")</f>
        <v>Merakit Komponen Fabrikasi</v>
      </c>
      <c r="C621" s="6" t="str">
        <f>IFERROR(__xludf.DUMMYFUNCTION("""COMPUTED_VALUE"""),"SMKS Kelautan dan Perikanan Raha")</f>
        <v>SMKS Kelautan dan Perikanan Raha</v>
      </c>
      <c r="F621" s="6" t="str">
        <f>IFERROR(__xludf.DUMMYFUNCTION("""COMPUTED_VALUE"""),"ARFAN")</f>
        <v>ARFAN</v>
      </c>
      <c r="G621" s="6" t="str">
        <f>IFERROR(__xludf.DUMMYFUNCTION("""COMPUTED_VALUE"""),"7403202207940001")</f>
        <v>7403202207940001</v>
      </c>
      <c r="J621" s="7" t="str">
        <f>IFERROR(__xludf.DUMMYFUNCTION("""COMPUTED_VALUE"""),"LAKI-LAKI")</f>
        <v>LAKI-LAKI</v>
      </c>
      <c r="K621" s="6" t="str">
        <f>IFERROR(__xludf.DUMMYFUNCTION("""COMPUTED_VALUE"""),"Desa Lapodidi")</f>
        <v>Desa Lapodidi</v>
      </c>
      <c r="N621" s="8" t="s">
        <v>19</v>
      </c>
      <c r="R621" s="7" t="str">
        <f>IFERROR(__xludf.DUMMYFUNCTION("""COMPUTED_VALUE"""),"BK")</f>
        <v>BK</v>
      </c>
    </row>
    <row r="622" ht="22.5" customHeight="1">
      <c r="A622" s="6">
        <v>621.0</v>
      </c>
      <c r="B622" s="6" t="str">
        <f>IFERROR(__xludf.DUMMYFUNCTION("""COMPUTED_VALUE"""),"Merakit Komponen Fabrikasi")</f>
        <v>Merakit Komponen Fabrikasi</v>
      </c>
      <c r="C622" s="6" t="str">
        <f>IFERROR(__xludf.DUMMYFUNCTION("""COMPUTED_VALUE"""),"SMKS Kelautan dan Perikanan Raha")</f>
        <v>SMKS Kelautan dan Perikanan Raha</v>
      </c>
      <c r="F622" s="6" t="str">
        <f>IFERROR(__xludf.DUMMYFUNCTION("""COMPUTED_VALUE"""),"ARIF PRAMUDIA")</f>
        <v>ARIF PRAMUDIA</v>
      </c>
      <c r="G622" s="6" t="str">
        <f>IFERROR(__xludf.DUMMYFUNCTION("""COMPUTED_VALUE"""),"7403091907080001")</f>
        <v>7403091907080001</v>
      </c>
      <c r="J622" s="7" t="str">
        <f>IFERROR(__xludf.DUMMYFUNCTION("""COMPUTED_VALUE"""),"LAKI-LAKI")</f>
        <v>LAKI-LAKI</v>
      </c>
      <c r="K622" s="6" t="str">
        <f>IFERROR(__xludf.DUMMYFUNCTION("""COMPUTED_VALUE"""),"Lasalepa")</f>
        <v>Lasalepa</v>
      </c>
      <c r="N622" s="8" t="s">
        <v>19</v>
      </c>
      <c r="R622" s="7" t="str">
        <f>IFERROR(__xludf.DUMMYFUNCTION("""COMPUTED_VALUE"""),"BK")</f>
        <v>BK</v>
      </c>
    </row>
    <row r="623" ht="22.5" customHeight="1">
      <c r="A623" s="6">
        <v>622.0</v>
      </c>
      <c r="B623" s="6" t="str">
        <f>IFERROR(__xludf.DUMMYFUNCTION("""COMPUTED_VALUE"""),"Merakit Komponen Fabrikasi")</f>
        <v>Merakit Komponen Fabrikasi</v>
      </c>
      <c r="C623" s="6" t="str">
        <f>IFERROR(__xludf.DUMMYFUNCTION("""COMPUTED_VALUE"""),"SMKS Kelautan dan Perikanan Raha")</f>
        <v>SMKS Kelautan dan Perikanan Raha</v>
      </c>
      <c r="F623" s="6" t="str">
        <f>IFERROR(__xludf.DUMMYFUNCTION("""COMPUTED_VALUE"""),"DEDY RIDWAN")</f>
        <v>DEDY RIDWAN</v>
      </c>
      <c r="G623" s="6" t="str">
        <f>IFERROR(__xludf.DUMMYFUNCTION("""COMPUTED_VALUE"""),"7403102810880201")</f>
        <v>7403102810880201</v>
      </c>
      <c r="J623" s="7" t="str">
        <f>IFERROR(__xludf.DUMMYFUNCTION("""COMPUTED_VALUE"""),"LAKI-LAKI")</f>
        <v>LAKI-LAKI</v>
      </c>
      <c r="K623" s="6"/>
      <c r="N623" s="8" t="s">
        <v>19</v>
      </c>
      <c r="R623" s="7" t="str">
        <f>IFERROR(__xludf.DUMMYFUNCTION("""COMPUTED_VALUE"""),"BK")</f>
        <v>BK</v>
      </c>
    </row>
    <row r="624" ht="22.5" customHeight="1">
      <c r="A624" s="6">
        <v>623.0</v>
      </c>
      <c r="B624" s="6" t="str">
        <f>IFERROR(__xludf.DUMMYFUNCTION("""COMPUTED_VALUE"""),"Merakit Komponen Fabrikasi")</f>
        <v>Merakit Komponen Fabrikasi</v>
      </c>
      <c r="C624" s="6" t="str">
        <f>IFERROR(__xludf.DUMMYFUNCTION("""COMPUTED_VALUE"""),"SMKS Kelautan dan Perikanan Raha")</f>
        <v>SMKS Kelautan dan Perikanan Raha</v>
      </c>
      <c r="F624" s="6" t="str">
        <f>IFERROR(__xludf.DUMMYFUNCTION("""COMPUTED_VALUE"""),"DERMAN")</f>
        <v>DERMAN</v>
      </c>
      <c r="G624" s="6" t="str">
        <f>IFERROR(__xludf.DUMMYFUNCTION("""COMPUTED_VALUE"""),"7403150909790001")</f>
        <v>7403150909790001</v>
      </c>
      <c r="J624" s="7" t="str">
        <f>IFERROR(__xludf.DUMMYFUNCTION("""COMPUTED_VALUE"""),"LAKI-LAKI")</f>
        <v>LAKI-LAKI</v>
      </c>
      <c r="K624" s="6"/>
      <c r="N624" s="8" t="s">
        <v>19</v>
      </c>
      <c r="R624" s="7" t="str">
        <f>IFERROR(__xludf.DUMMYFUNCTION("""COMPUTED_VALUE"""),"BK")</f>
        <v>BK</v>
      </c>
    </row>
    <row r="625" ht="22.5" customHeight="1">
      <c r="A625" s="6">
        <v>624.0</v>
      </c>
      <c r="B625" s="6" t="str">
        <f>IFERROR(__xludf.DUMMYFUNCTION("""COMPUTED_VALUE"""),"Merakit Komponen Fabrikasi")</f>
        <v>Merakit Komponen Fabrikasi</v>
      </c>
      <c r="C625" s="6" t="str">
        <f>IFERROR(__xludf.DUMMYFUNCTION("""COMPUTED_VALUE"""),"SMKS Kelautan dan Perikanan Raha")</f>
        <v>SMKS Kelautan dan Perikanan Raha</v>
      </c>
      <c r="F625" s="6" t="str">
        <f>IFERROR(__xludf.DUMMYFUNCTION("""COMPUTED_VALUE"""),"FARUN")</f>
        <v>FARUN</v>
      </c>
      <c r="G625" s="6" t="str">
        <f>IFERROR(__xludf.DUMMYFUNCTION("""COMPUTED_VALUE"""),"7403150610080002")</f>
        <v>7403150610080002</v>
      </c>
      <c r="J625" s="7" t="str">
        <f>IFERROR(__xludf.DUMMYFUNCTION("""COMPUTED_VALUE"""),"LAKI-LAKI")</f>
        <v>LAKI-LAKI</v>
      </c>
      <c r="K625" s="6" t="str">
        <f>IFERROR(__xludf.DUMMYFUNCTION("""COMPUTED_VALUE"""),"Jl. Made Sabara")</f>
        <v>Jl. Made Sabara</v>
      </c>
      <c r="N625" s="8" t="s">
        <v>19</v>
      </c>
      <c r="R625" s="7" t="str">
        <f>IFERROR(__xludf.DUMMYFUNCTION("""COMPUTED_VALUE"""),"K")</f>
        <v>K</v>
      </c>
    </row>
    <row r="626" ht="22.5" customHeight="1">
      <c r="A626" s="6">
        <v>625.0</v>
      </c>
      <c r="B626" s="6" t="str">
        <f>IFERROR(__xludf.DUMMYFUNCTION("""COMPUTED_VALUE"""),"Merakit Komponen Fabrikasi")</f>
        <v>Merakit Komponen Fabrikasi</v>
      </c>
      <c r="C626" s="6" t="str">
        <f>IFERROR(__xludf.DUMMYFUNCTION("""COMPUTED_VALUE"""),"SMKS Kelautan dan Perikanan Raha")</f>
        <v>SMKS Kelautan dan Perikanan Raha</v>
      </c>
      <c r="F626" s="6" t="str">
        <f>IFERROR(__xludf.DUMMYFUNCTION("""COMPUTED_VALUE"""),"HASAN")</f>
        <v>HASAN</v>
      </c>
      <c r="G626" s="6" t="str">
        <f>IFERROR(__xludf.DUMMYFUNCTION("""COMPUTED_VALUE"""),"7403090107050256")</f>
        <v>7403090107050256</v>
      </c>
      <c r="J626" s="7" t="str">
        <f>IFERROR(__xludf.DUMMYFUNCTION("""COMPUTED_VALUE"""),"LAKI-LAKI")</f>
        <v>LAKI-LAKI</v>
      </c>
      <c r="K626" s="6" t="str">
        <f>IFERROR(__xludf.DUMMYFUNCTION("""COMPUTED_VALUE"""),"Desa Bangun Sari")</f>
        <v>Desa Bangun Sari</v>
      </c>
      <c r="N626" s="8" t="s">
        <v>19</v>
      </c>
      <c r="R626" s="7" t="str">
        <f>IFERROR(__xludf.DUMMYFUNCTION("""COMPUTED_VALUE"""),"BK")</f>
        <v>BK</v>
      </c>
    </row>
    <row r="627" ht="22.5" customHeight="1">
      <c r="A627" s="6">
        <v>626.0</v>
      </c>
      <c r="B627" s="6" t="str">
        <f>IFERROR(__xludf.DUMMYFUNCTION("""COMPUTED_VALUE"""),"Merakit Komponen Fabrikasi")</f>
        <v>Merakit Komponen Fabrikasi</v>
      </c>
      <c r="C627" s="6" t="str">
        <f>IFERROR(__xludf.DUMMYFUNCTION("""COMPUTED_VALUE"""),"SMKS Kelautan dan Perikanan Raha")</f>
        <v>SMKS Kelautan dan Perikanan Raha</v>
      </c>
      <c r="F627" s="6" t="str">
        <f>IFERROR(__xludf.DUMMYFUNCTION("""COMPUTED_VALUE"""),"ADE IRMAN")</f>
        <v>ADE IRMAN</v>
      </c>
      <c r="G627" s="6" t="str">
        <f>IFERROR(__xludf.DUMMYFUNCTION("""COMPUTED_VALUE"""),"7403142907940201")</f>
        <v>7403142907940201</v>
      </c>
      <c r="J627" s="7" t="str">
        <f>IFERROR(__xludf.DUMMYFUNCTION("""COMPUTED_VALUE"""),"LAKI-LAKI")</f>
        <v>LAKI-LAKI</v>
      </c>
      <c r="K627" s="6" t="str">
        <f>IFERROR(__xludf.DUMMYFUNCTION("""COMPUTED_VALUE"""),"Lakapodo")</f>
        <v>Lakapodo</v>
      </c>
      <c r="N627" s="8" t="s">
        <v>19</v>
      </c>
      <c r="R627" s="7" t="str">
        <f>IFERROR(__xludf.DUMMYFUNCTION("""COMPUTED_VALUE"""),"BK")</f>
        <v>BK</v>
      </c>
    </row>
    <row r="628" ht="22.5" customHeight="1">
      <c r="A628" s="6">
        <v>627.0</v>
      </c>
      <c r="B628" s="6" t="str">
        <f>IFERROR(__xludf.DUMMYFUNCTION("""COMPUTED_VALUE"""),"Merakit Komponen Fabrikasi")</f>
        <v>Merakit Komponen Fabrikasi</v>
      </c>
      <c r="C628" s="6" t="str">
        <f>IFERROR(__xludf.DUMMYFUNCTION("""COMPUTED_VALUE"""),"SMKS Kelautan dan Perikanan Raha")</f>
        <v>SMKS Kelautan dan Perikanan Raha</v>
      </c>
      <c r="F628" s="6" t="str">
        <f>IFERROR(__xludf.DUMMYFUNCTION("""COMPUTED_VALUE"""),"IQWAL SUWANDA")</f>
        <v>IQWAL SUWANDA</v>
      </c>
      <c r="G628" s="6" t="str">
        <f>IFERROR(__xludf.DUMMYFUNCTION("""COMPUTED_VALUE"""),"7403142701070001")</f>
        <v>7403142701070001</v>
      </c>
      <c r="J628" s="7" t="str">
        <f>IFERROR(__xludf.DUMMYFUNCTION("""COMPUTED_VALUE"""),"LAKI-LAKI")</f>
        <v>LAKI-LAKI</v>
      </c>
      <c r="K628" s="6" t="str">
        <f>IFERROR(__xludf.DUMMYFUNCTION("""COMPUTED_VALUE"""),"Desa Bangun Sari")</f>
        <v>Desa Bangun Sari</v>
      </c>
      <c r="N628" s="8" t="s">
        <v>19</v>
      </c>
      <c r="R628" s="7" t="str">
        <f>IFERROR(__xludf.DUMMYFUNCTION("""COMPUTED_VALUE"""),"K")</f>
        <v>K</v>
      </c>
    </row>
    <row r="629" ht="22.5" customHeight="1">
      <c r="A629" s="6">
        <v>628.0</v>
      </c>
      <c r="B629" s="6" t="str">
        <f>IFERROR(__xludf.DUMMYFUNCTION("""COMPUTED_VALUE"""),"Merakit Komponen Fabrikasi")</f>
        <v>Merakit Komponen Fabrikasi</v>
      </c>
      <c r="C629" s="6" t="str">
        <f>IFERROR(__xludf.DUMMYFUNCTION("""COMPUTED_VALUE"""),"SMKS Kelautan dan Perikanan Raha")</f>
        <v>SMKS Kelautan dan Perikanan Raha</v>
      </c>
      <c r="F629" s="6" t="str">
        <f>IFERROR(__xludf.DUMMYFUNCTION("""COMPUTED_VALUE"""),"LA ODE ALIF ALMUNAZAR")</f>
        <v>LA ODE ALIF ALMUNAZAR</v>
      </c>
      <c r="G629" s="6" t="str">
        <f>IFERROR(__xludf.DUMMYFUNCTION("""COMPUTED_VALUE"""),"7403350611080001")</f>
        <v>7403350611080001</v>
      </c>
      <c r="J629" s="7" t="str">
        <f>IFERROR(__xludf.DUMMYFUNCTION("""COMPUTED_VALUE"""),"LAKI-LAKI")</f>
        <v>LAKI-LAKI</v>
      </c>
      <c r="K629" s="6" t="str">
        <f>IFERROR(__xludf.DUMMYFUNCTION("""COMPUTED_VALUE"""),"Desa Wawesa")</f>
        <v>Desa Wawesa</v>
      </c>
      <c r="N629" s="8" t="s">
        <v>19</v>
      </c>
      <c r="R629" s="7" t="str">
        <f>IFERROR(__xludf.DUMMYFUNCTION("""COMPUTED_VALUE"""),"BK")</f>
        <v>BK</v>
      </c>
    </row>
    <row r="630" ht="22.5" customHeight="1">
      <c r="A630" s="6">
        <v>629.0</v>
      </c>
      <c r="B630" s="6" t="str">
        <f>IFERROR(__xludf.DUMMYFUNCTION("""COMPUTED_VALUE"""),"Merakit Komponen Fabrikasi")</f>
        <v>Merakit Komponen Fabrikasi</v>
      </c>
      <c r="C630" s="6" t="str">
        <f>IFERROR(__xludf.DUMMYFUNCTION("""COMPUTED_VALUE"""),"SMKS Kelautan dan Perikanan Raha")</f>
        <v>SMKS Kelautan dan Perikanan Raha</v>
      </c>
      <c r="F630" s="6" t="str">
        <f>IFERROR(__xludf.DUMMYFUNCTION("""COMPUTED_VALUE"""),"L.M. RASULAH")</f>
        <v>L.M. RASULAH</v>
      </c>
      <c r="G630" s="6" t="str">
        <f>IFERROR(__xludf.DUMMYFUNCTION("""COMPUTED_VALUE"""),"7471040110070001")</f>
        <v>7471040110070001</v>
      </c>
      <c r="J630" s="7" t="str">
        <f>IFERROR(__xludf.DUMMYFUNCTION("""COMPUTED_VALUE"""),"LAKI-LAKI")</f>
        <v>LAKI-LAKI</v>
      </c>
      <c r="K630" s="6" t="str">
        <f>IFERROR(__xludf.DUMMYFUNCTION("""COMPUTED_VALUE"""),"Jl. Banteng, Kel. Rahandonua, Kec. Poasia")</f>
        <v>Jl. Banteng, Kel. Rahandonua, Kec. Poasia</v>
      </c>
      <c r="N630" s="8" t="s">
        <v>19</v>
      </c>
      <c r="R630" s="7" t="str">
        <f>IFERROR(__xludf.DUMMYFUNCTION("""COMPUTED_VALUE"""),"K")</f>
        <v>K</v>
      </c>
    </row>
    <row r="631" ht="22.5" customHeight="1">
      <c r="A631" s="6">
        <v>630.0</v>
      </c>
      <c r="B631" s="6" t="str">
        <f>IFERROR(__xludf.DUMMYFUNCTION("""COMPUTED_VALUE"""),"Merakit Komponen Fabrikasi")</f>
        <v>Merakit Komponen Fabrikasi</v>
      </c>
      <c r="C631" s="6" t="str">
        <f>IFERROR(__xludf.DUMMYFUNCTION("""COMPUTED_VALUE"""),"SMKS Kelautan dan Perikanan Raha")</f>
        <v>SMKS Kelautan dan Perikanan Raha</v>
      </c>
      <c r="F631" s="6" t="str">
        <f>IFERROR(__xludf.DUMMYFUNCTION("""COMPUTED_VALUE"""),"AL MUNAWIR")</f>
        <v>AL MUNAWIR</v>
      </c>
      <c r="G631" s="6" t="str">
        <f>IFERROR(__xludf.DUMMYFUNCTION("""COMPUTED_VALUE"""),"7403040109040001")</f>
        <v>7403040109040001</v>
      </c>
      <c r="J631" s="7" t="str">
        <f>IFERROR(__xludf.DUMMYFUNCTION("""COMPUTED_VALUE"""),"LAKI-LAKI")</f>
        <v>LAKI-LAKI</v>
      </c>
      <c r="K631" s="6" t="str">
        <f>IFERROR(__xludf.DUMMYFUNCTION("""COMPUTED_VALUE"""),"Desa Lapodidi")</f>
        <v>Desa Lapodidi</v>
      </c>
      <c r="N631" s="8" t="s">
        <v>19</v>
      </c>
      <c r="R631" s="7" t="str">
        <f>IFERROR(__xludf.DUMMYFUNCTION("""COMPUTED_VALUE"""),"K")</f>
        <v>K</v>
      </c>
    </row>
    <row r="632" ht="22.5" customHeight="1">
      <c r="A632" s="6">
        <v>631.0</v>
      </c>
      <c r="B632" s="6" t="str">
        <f>IFERROR(__xludf.DUMMYFUNCTION("""COMPUTED_VALUE"""),"Merakit Komponen Fabrikasi")</f>
        <v>Merakit Komponen Fabrikasi</v>
      </c>
      <c r="C632" s="6" t="str">
        <f>IFERROR(__xludf.DUMMYFUNCTION("""COMPUTED_VALUE"""),"SMKS Kelautan dan Perikanan Raha")</f>
        <v>SMKS Kelautan dan Perikanan Raha</v>
      </c>
      <c r="F632" s="6" t="str">
        <f>IFERROR(__xludf.DUMMYFUNCTION("""COMPUTED_VALUE"""),"FIRLAN S SAPUTRA")</f>
        <v>FIRLAN S SAPUTRA</v>
      </c>
      <c r="G632" s="6" t="str">
        <f>IFERROR(__xludf.DUMMYFUNCTION("""COMPUTED_VALUE"""),"7403191505080001")</f>
        <v>7403191505080001</v>
      </c>
      <c r="J632" s="7" t="str">
        <f>IFERROR(__xludf.DUMMYFUNCTION("""COMPUTED_VALUE"""),"LAKI-LAKI")</f>
        <v>LAKI-LAKI</v>
      </c>
      <c r="K632" s="6" t="str">
        <f>IFERROR(__xludf.DUMMYFUNCTION("""COMPUTED_VALUE"""),"Desa Wakadia")</f>
        <v>Desa Wakadia</v>
      </c>
      <c r="N632" s="8" t="s">
        <v>19</v>
      </c>
      <c r="R632" s="7" t="str">
        <f>IFERROR(__xludf.DUMMYFUNCTION("""COMPUTED_VALUE"""),"BK")</f>
        <v>BK</v>
      </c>
    </row>
    <row r="633" ht="22.5" customHeight="1">
      <c r="A633" s="6">
        <v>632.0</v>
      </c>
      <c r="B633" s="6" t="str">
        <f>IFERROR(__xludf.DUMMYFUNCTION("""COMPUTED_VALUE"""),"Merakit Komponen Fabrikasi")</f>
        <v>Merakit Komponen Fabrikasi</v>
      </c>
      <c r="C633" s="6" t="str">
        <f>IFERROR(__xludf.DUMMYFUNCTION("""COMPUTED_VALUE"""),"SMKS Kelautan dan Perikanan Raha")</f>
        <v>SMKS Kelautan dan Perikanan Raha</v>
      </c>
      <c r="F633" s="6" t="str">
        <f>IFERROR(__xludf.DUMMYFUNCTION("""COMPUTED_VALUE"""),"MUHAMAD ABI")</f>
        <v>MUHAMAD ABI</v>
      </c>
      <c r="G633" s="6" t="str">
        <f>IFERROR(__xludf.DUMMYFUNCTION("""COMPUTED_VALUE"""),"7471020909050002")</f>
        <v>7471020909050002</v>
      </c>
      <c r="J633" s="7" t="str">
        <f>IFERROR(__xludf.DUMMYFUNCTION("""COMPUTED_VALUE"""),"LAKI-LAKI")</f>
        <v>LAKI-LAKI</v>
      </c>
      <c r="K633" s="6" t="str">
        <f>IFERROR(__xludf.DUMMYFUNCTION("""COMPUTED_VALUE"""),"Desa Masalili, Kec. Kontunaga")</f>
        <v>Desa Masalili, Kec. Kontunaga</v>
      </c>
      <c r="N633" s="8" t="s">
        <v>19</v>
      </c>
      <c r="R633" s="7" t="str">
        <f>IFERROR(__xludf.DUMMYFUNCTION("""COMPUTED_VALUE"""),"BK")</f>
        <v>BK</v>
      </c>
    </row>
    <row r="634" ht="22.5" customHeight="1">
      <c r="A634" s="6">
        <v>633.0</v>
      </c>
      <c r="B634" s="6" t="str">
        <f>IFERROR(__xludf.DUMMYFUNCTION("""COMPUTED_VALUE"""),"Merakit Komponen Fabrikasi")</f>
        <v>Merakit Komponen Fabrikasi</v>
      </c>
      <c r="C634" s="6" t="str">
        <f>IFERROR(__xludf.DUMMYFUNCTION("""COMPUTED_VALUE"""),"SMKS Kelautan dan Perikanan Raha")</f>
        <v>SMKS Kelautan dan Perikanan Raha</v>
      </c>
      <c r="F634" s="6" t="str">
        <f>IFERROR(__xludf.DUMMYFUNCTION("""COMPUTED_VALUE"""),"MUHAMAT ALFINO")</f>
        <v>MUHAMAT ALFINO</v>
      </c>
      <c r="G634" s="6" t="str">
        <f>IFERROR(__xludf.DUMMYFUNCTION("""COMPUTED_VALUE"""),"7403202204080001")</f>
        <v>7403202204080001</v>
      </c>
      <c r="J634" s="7" t="str">
        <f>IFERROR(__xludf.DUMMYFUNCTION("""COMPUTED_VALUE"""),"LAKI-LAKI")</f>
        <v>LAKI-LAKI</v>
      </c>
      <c r="K634" s="6" t="str">
        <f>IFERROR(__xludf.DUMMYFUNCTION("""COMPUTED_VALUE"""),"Desa Masalili, Kec. Kontunaga")</f>
        <v>Desa Masalili, Kec. Kontunaga</v>
      </c>
      <c r="N634" s="8" t="s">
        <v>19</v>
      </c>
      <c r="R634" s="7" t="str">
        <f>IFERROR(__xludf.DUMMYFUNCTION("""COMPUTED_VALUE"""),"BK")</f>
        <v>BK</v>
      </c>
    </row>
    <row r="635" ht="22.5" customHeight="1">
      <c r="A635" s="6">
        <v>634.0</v>
      </c>
      <c r="B635" s="6" t="str">
        <f>IFERROR(__xludf.DUMMYFUNCTION("""COMPUTED_VALUE"""),"Merakit Komponen Fabrikasi")</f>
        <v>Merakit Komponen Fabrikasi</v>
      </c>
      <c r="C635" s="6" t="str">
        <f>IFERROR(__xludf.DUMMYFUNCTION("""COMPUTED_VALUE"""),"SMKS Kelautan dan Perikanan Raha")</f>
        <v>SMKS Kelautan dan Perikanan Raha</v>
      </c>
      <c r="F635" s="6" t="str">
        <f>IFERROR(__xludf.DUMMYFUNCTION("""COMPUTED_VALUE"""),"MUHAMAD FAJRIN")</f>
        <v>MUHAMAD FAJRIN</v>
      </c>
      <c r="G635" s="6" t="str">
        <f>IFERROR(__xludf.DUMMYFUNCTION("""COMPUTED_VALUE"""),"7403050410070001")</f>
        <v>7403050410070001</v>
      </c>
      <c r="J635" s="7" t="str">
        <f>IFERROR(__xludf.DUMMYFUNCTION("""COMPUTED_VALUE"""),"LAKI-LAKI")</f>
        <v>LAKI-LAKI</v>
      </c>
      <c r="K635" s="6" t="str">
        <f>IFERROR(__xludf.DUMMYFUNCTION("""COMPUTED_VALUE"""),"Lapokainse, Kec. Kusambi, Kab. Muna Barat")</f>
        <v>Lapokainse, Kec. Kusambi, Kab. Muna Barat</v>
      </c>
      <c r="N635" s="8" t="s">
        <v>19</v>
      </c>
      <c r="R635" s="7" t="str">
        <f>IFERROR(__xludf.DUMMYFUNCTION("""COMPUTED_VALUE"""),"K")</f>
        <v>K</v>
      </c>
    </row>
    <row r="636" ht="22.5" customHeight="1">
      <c r="A636" s="6">
        <v>635.0</v>
      </c>
      <c r="B636" s="6" t="str">
        <f>IFERROR(__xludf.DUMMYFUNCTION("""COMPUTED_VALUE"""),"Merakit Komponen Fabrikasi")</f>
        <v>Merakit Komponen Fabrikasi</v>
      </c>
      <c r="C636" s="6" t="str">
        <f>IFERROR(__xludf.DUMMYFUNCTION("""COMPUTED_VALUE"""),"SMKS Kelautan dan Perikanan Raha")</f>
        <v>SMKS Kelautan dan Perikanan Raha</v>
      </c>
      <c r="F636" s="6" t="str">
        <f>IFERROR(__xludf.DUMMYFUNCTION("""COMPUTED_VALUE"""),"MUHAMMAD IKSAN SYAPUTRA")</f>
        <v>MUHAMMAD IKSAN SYAPUTRA</v>
      </c>
      <c r="G636" s="6" t="str">
        <f>IFERROR(__xludf.DUMMYFUNCTION("""COMPUTED_VALUE"""),"7403200304080001")</f>
        <v>7403200304080001</v>
      </c>
      <c r="J636" s="7" t="str">
        <f>IFERROR(__xludf.DUMMYFUNCTION("""COMPUTED_VALUE"""),"LAKI-LAKI")</f>
        <v>LAKI-LAKI</v>
      </c>
      <c r="K636" s="6" t="str">
        <f>IFERROR(__xludf.DUMMYFUNCTION("""COMPUTED_VALUE"""),"Jl. Poros Wamengkoli")</f>
        <v>Jl. Poros Wamengkoli</v>
      </c>
      <c r="N636" s="8" t="s">
        <v>19</v>
      </c>
      <c r="R636" s="7" t="str">
        <f>IFERROR(__xludf.DUMMYFUNCTION("""COMPUTED_VALUE"""),"BK")</f>
        <v>BK</v>
      </c>
    </row>
    <row r="637" ht="22.5" customHeight="1">
      <c r="A637" s="6">
        <v>636.0</v>
      </c>
      <c r="B637" s="6" t="str">
        <f>IFERROR(__xludf.DUMMYFUNCTION("""COMPUTED_VALUE"""),"Merakit Komponen Fabrikasi")</f>
        <v>Merakit Komponen Fabrikasi</v>
      </c>
      <c r="C637" s="6" t="str">
        <f>IFERROR(__xludf.DUMMYFUNCTION("""COMPUTED_VALUE"""),"SMKS Kelautan dan Perikanan Raha")</f>
        <v>SMKS Kelautan dan Perikanan Raha</v>
      </c>
      <c r="F637" s="6" t="str">
        <f>IFERROR(__xludf.DUMMYFUNCTION("""COMPUTED_VALUE"""),"RAHMAT")</f>
        <v>RAHMAT</v>
      </c>
      <c r="G637" s="6" t="str">
        <f>IFERROR(__xludf.DUMMYFUNCTION("""COMPUTED_VALUE"""),"7403190303080002")</f>
        <v>7403190303080002</v>
      </c>
      <c r="J637" s="7" t="str">
        <f>IFERROR(__xludf.DUMMYFUNCTION("""COMPUTED_VALUE"""),"LAKI-LAKI")</f>
        <v>LAKI-LAKI</v>
      </c>
      <c r="K637" s="6" t="str">
        <f>IFERROR(__xludf.DUMMYFUNCTION("""COMPUTED_VALUE"""),"Kel. Dana, Kec. Watupute")</f>
        <v>Kel. Dana, Kec. Watupute</v>
      </c>
      <c r="N637" s="8" t="s">
        <v>19</v>
      </c>
      <c r="R637" s="7" t="str">
        <f>IFERROR(__xludf.DUMMYFUNCTION("""COMPUTED_VALUE"""),"BK")</f>
        <v>BK</v>
      </c>
    </row>
    <row r="638" ht="22.5" customHeight="1">
      <c r="A638" s="6">
        <v>637.0</v>
      </c>
      <c r="B638" s="6" t="str">
        <f>IFERROR(__xludf.DUMMYFUNCTION("""COMPUTED_VALUE"""),"Merakit Komponen Fabrikasi")</f>
        <v>Merakit Komponen Fabrikasi</v>
      </c>
      <c r="C638" s="6" t="str">
        <f>IFERROR(__xludf.DUMMYFUNCTION("""COMPUTED_VALUE"""),"SMKS Kelautan dan Perikanan Raha")</f>
        <v>SMKS Kelautan dan Perikanan Raha</v>
      </c>
      <c r="F638" s="6" t="str">
        <f>IFERROR(__xludf.DUMMYFUNCTION("""COMPUTED_VALUE"""),"RAJAB")</f>
        <v>RAJAB</v>
      </c>
      <c r="G638" s="6" t="str">
        <f>IFERROR(__xludf.DUMMYFUNCTION("""COMPUTED_VALUE"""),"7403152501080001")</f>
        <v>7403152501080001</v>
      </c>
      <c r="J638" s="7" t="str">
        <f>IFERROR(__xludf.DUMMYFUNCTION("""COMPUTED_VALUE"""),"LAKI-LAKI")</f>
        <v>LAKI-LAKI</v>
      </c>
      <c r="K638" s="6" t="str">
        <f>IFERROR(__xludf.DUMMYFUNCTION("""COMPUTED_VALUE"""),"Jl. Wirabuana, Desa Wawesa")</f>
        <v>Jl. Wirabuana, Desa Wawesa</v>
      </c>
      <c r="N638" s="8" t="s">
        <v>19</v>
      </c>
      <c r="R638" s="7" t="str">
        <f>IFERROR(__xludf.DUMMYFUNCTION("""COMPUTED_VALUE"""),"BK")</f>
        <v>BK</v>
      </c>
    </row>
    <row r="639" ht="22.5" customHeight="1">
      <c r="A639" s="6">
        <v>638.0</v>
      </c>
      <c r="B639" s="6" t="str">
        <f>IFERROR(__xludf.DUMMYFUNCTION("""COMPUTED_VALUE"""),"Merakit Komponen Fabrikasi")</f>
        <v>Merakit Komponen Fabrikasi</v>
      </c>
      <c r="C639" s="6" t="str">
        <f>IFERROR(__xludf.DUMMYFUNCTION("""COMPUTED_VALUE"""),"SMKS Kelautan dan Perikanan Raha")</f>
        <v>SMKS Kelautan dan Perikanan Raha</v>
      </c>
      <c r="F639" s="6" t="str">
        <f>IFERROR(__xludf.DUMMYFUNCTION("""COMPUTED_VALUE"""),"RUSDIANA")</f>
        <v>RUSDIANA</v>
      </c>
      <c r="G639" s="6" t="str">
        <f>IFERROR(__xludf.DUMMYFUNCTION("""COMPUTED_VALUE"""),"7403114601780002")</f>
        <v>7403114601780002</v>
      </c>
      <c r="J639" s="7" t="str">
        <f>IFERROR(__xludf.DUMMYFUNCTION("""COMPUTED_VALUE"""),"PEREMPUAN")</f>
        <v>PEREMPUAN</v>
      </c>
      <c r="K639" s="6" t="str">
        <f>IFERROR(__xludf.DUMMYFUNCTION("""COMPUTED_VALUE"""),"Jl. S. Goldaria")</f>
        <v>Jl. S. Goldaria</v>
      </c>
      <c r="N639" s="8" t="s">
        <v>19</v>
      </c>
      <c r="R639" s="7" t="str">
        <f>IFERROR(__xludf.DUMMYFUNCTION("""COMPUTED_VALUE"""),"K")</f>
        <v>K</v>
      </c>
    </row>
    <row r="640" ht="22.5" customHeight="1">
      <c r="A640" s="6">
        <v>639.0</v>
      </c>
      <c r="B640" s="6" t="str">
        <f>IFERROR(__xludf.DUMMYFUNCTION("""COMPUTED_VALUE"""),"Merakit Komponen Fabrikasi")</f>
        <v>Merakit Komponen Fabrikasi</v>
      </c>
      <c r="C640" s="6" t="str">
        <f>IFERROR(__xludf.DUMMYFUNCTION("""COMPUTED_VALUE"""),"SMKS Kelautan dan Perikanan Raha")</f>
        <v>SMKS Kelautan dan Perikanan Raha</v>
      </c>
      <c r="F640" s="6" t="str">
        <f>IFERROR(__xludf.DUMMYFUNCTION("""COMPUTED_VALUE"""),"RUSMAN SUBUH")</f>
        <v>RUSMAN SUBUH</v>
      </c>
      <c r="G640" s="6" t="str">
        <f>IFERROR(__xludf.DUMMYFUNCTION("""COMPUTED_VALUE"""),"7403202307040001")</f>
        <v>7403202307040001</v>
      </c>
      <c r="J640" s="7" t="str">
        <f>IFERROR(__xludf.DUMMYFUNCTION("""COMPUTED_VALUE"""),"LAKI-LAKI")</f>
        <v>LAKI-LAKI</v>
      </c>
      <c r="K640" s="6" t="str">
        <f>IFERROR(__xludf.DUMMYFUNCTION("""COMPUTED_VALUE"""),"Desa Lapodidi, Kec. Kontunaga, Kab. muna")</f>
        <v>Desa Lapodidi, Kec. Kontunaga, Kab. muna</v>
      </c>
      <c r="N640" s="8" t="s">
        <v>19</v>
      </c>
      <c r="R640" s="7" t="str">
        <f>IFERROR(__xludf.DUMMYFUNCTION("""COMPUTED_VALUE"""),"K")</f>
        <v>K</v>
      </c>
    </row>
    <row r="641" ht="22.5" customHeight="1">
      <c r="A641" s="6">
        <v>640.0</v>
      </c>
      <c r="B641" s="6" t="str">
        <f>IFERROR(__xludf.DUMMYFUNCTION("""COMPUTED_VALUE"""),"Merakit Komponen Fabrikasi")</f>
        <v>Merakit Komponen Fabrikasi</v>
      </c>
      <c r="C641" s="6" t="str">
        <f>IFERROR(__xludf.DUMMYFUNCTION("""COMPUTED_VALUE"""),"SMKS Kelautan dan Perikanan Raha")</f>
        <v>SMKS Kelautan dan Perikanan Raha</v>
      </c>
      <c r="F641" s="6" t="str">
        <f>IFERROR(__xludf.DUMMYFUNCTION("""COMPUTED_VALUE"""),"SULTAN SURI")</f>
        <v>SULTAN SURI</v>
      </c>
      <c r="G641" s="6" t="str">
        <f>IFERROR(__xludf.DUMMYFUNCTION("""COMPUTED_VALUE"""),"7403171402070001")</f>
        <v>7403171402070001</v>
      </c>
      <c r="J641" s="7" t="str">
        <f>IFERROR(__xludf.DUMMYFUNCTION("""COMPUTED_VALUE"""),"LAKI-LAKI")</f>
        <v>LAKI-LAKI</v>
      </c>
      <c r="K641" s="6" t="str">
        <f>IFERROR(__xludf.DUMMYFUNCTION("""COMPUTED_VALUE"""),"Lagasa Bahari 1")</f>
        <v>Lagasa Bahari 1</v>
      </c>
      <c r="N641" s="8" t="s">
        <v>19</v>
      </c>
      <c r="R641" s="7" t="str">
        <f>IFERROR(__xludf.DUMMYFUNCTION("""COMPUTED_VALUE"""),"K")</f>
        <v>K</v>
      </c>
    </row>
    <row r="642" ht="22.5" customHeight="1">
      <c r="A642" s="6">
        <v>641.0</v>
      </c>
      <c r="B642" s="6" t="str">
        <f>IFERROR(__xludf.DUMMYFUNCTION("""COMPUTED_VALUE"""),"Merakit Komponen Fabrikasi")</f>
        <v>Merakit Komponen Fabrikasi</v>
      </c>
      <c r="C642" s="6" t="str">
        <f>IFERROR(__xludf.DUMMYFUNCTION("""COMPUTED_VALUE"""),"SMKS Kelautan dan Perikanan Raha")</f>
        <v>SMKS Kelautan dan Perikanan Raha</v>
      </c>
      <c r="F642" s="6" t="str">
        <f>IFERROR(__xludf.DUMMYFUNCTION("""COMPUTED_VALUE"""),"WA SARINA")</f>
        <v>WA SARINA</v>
      </c>
      <c r="G642" s="6" t="str">
        <f>IFERROR(__xludf.DUMMYFUNCTION("""COMPUTED_VALUE"""),"7403167112730025")</f>
        <v>7403167112730025</v>
      </c>
      <c r="J642" s="7" t="str">
        <f>IFERROR(__xludf.DUMMYFUNCTION("""COMPUTED_VALUE"""),"PEREMPUAN")</f>
        <v>PEREMPUAN</v>
      </c>
      <c r="K642" s="6" t="str">
        <f>IFERROR(__xludf.DUMMYFUNCTION("""COMPUTED_VALUE"""),"JL. Kontu Kowuna, Kel. Fookuni, Kec. Katobu")</f>
        <v>JL. Kontu Kowuna, Kel. Fookuni, Kec. Katobu</v>
      </c>
      <c r="N642" s="8" t="s">
        <v>19</v>
      </c>
      <c r="R642" s="7" t="str">
        <f>IFERROR(__xludf.DUMMYFUNCTION("""COMPUTED_VALUE"""),"K")</f>
        <v>K</v>
      </c>
    </row>
    <row r="643" ht="22.5" customHeight="1">
      <c r="A643" s="6">
        <v>642.0</v>
      </c>
      <c r="B643" s="6" t="str">
        <f>IFERROR(__xludf.DUMMYFUNCTION("""COMPUTED_VALUE"""),"Merakit Komponen Fabrikasi")</f>
        <v>Merakit Komponen Fabrikasi</v>
      </c>
      <c r="C643" s="6" t="str">
        <f>IFERROR(__xludf.DUMMYFUNCTION("""COMPUTED_VALUE"""),"SMKS Kelautan dan Perikanan Raha")</f>
        <v>SMKS Kelautan dan Perikanan Raha</v>
      </c>
      <c r="F643" s="6" t="str">
        <f>IFERROR(__xludf.DUMMYFUNCTION("""COMPUTED_VALUE"""),"WA ODE SITTI SURATMIN")</f>
        <v>WA ODE SITTI SURATMIN</v>
      </c>
      <c r="G643" s="6" t="str">
        <f>IFERROR(__xludf.DUMMYFUNCTION("""COMPUTED_VALUE"""),"7403156211790001")</f>
        <v>7403156211790001</v>
      </c>
      <c r="J643" s="7" t="str">
        <f>IFERROR(__xludf.DUMMYFUNCTION("""COMPUTED_VALUE"""),"PEREMPUAN")</f>
        <v>PEREMPUAN</v>
      </c>
      <c r="K643" s="6" t="str">
        <f>IFERROR(__xludf.DUMMYFUNCTION("""COMPUTED_VALUE"""),"Jl. Gatot Subroto No. 55")</f>
        <v>Jl. Gatot Subroto No. 55</v>
      </c>
      <c r="N643" s="8" t="s">
        <v>19</v>
      </c>
      <c r="R643" s="7" t="str">
        <f>IFERROR(__xludf.DUMMYFUNCTION("""COMPUTED_VALUE"""),"BK")</f>
        <v>BK</v>
      </c>
    </row>
    <row r="644" ht="22.5" customHeight="1">
      <c r="A644" s="6">
        <v>643.0</v>
      </c>
      <c r="B644" s="6" t="str">
        <f>IFERROR(__xludf.DUMMYFUNCTION("""COMPUTED_VALUE"""),"Merakit Komponen Fabrikasi")</f>
        <v>Merakit Komponen Fabrikasi</v>
      </c>
      <c r="C644" s="6" t="str">
        <f>IFERROR(__xludf.DUMMYFUNCTION("""COMPUTED_VALUE"""),"SMKS Kelautan dan Perikanan Raha")</f>
        <v>SMKS Kelautan dan Perikanan Raha</v>
      </c>
      <c r="F644" s="6" t="str">
        <f>IFERROR(__xludf.DUMMYFUNCTION("""COMPUTED_VALUE"""),"YUKI JANUARSYAH")</f>
        <v>YUKI JANUARSYAH</v>
      </c>
      <c r="G644" s="6" t="str">
        <f>IFERROR(__xludf.DUMMYFUNCTION("""COMPUTED_VALUE"""),"7403201301080001")</f>
        <v>7403201301080001</v>
      </c>
      <c r="J644" s="7" t="str">
        <f>IFERROR(__xludf.DUMMYFUNCTION("""COMPUTED_VALUE"""),"LAKI-LAKI")</f>
        <v>LAKI-LAKI</v>
      </c>
      <c r="K644" s="6" t="str">
        <f>IFERROR(__xludf.DUMMYFUNCTION("""COMPUTED_VALUE"""),"Desa Masalili, Kecamatan Kontunaga, Kab. Muna")</f>
        <v>Desa Masalili, Kecamatan Kontunaga, Kab. Muna</v>
      </c>
      <c r="N644" s="8" t="s">
        <v>19</v>
      </c>
      <c r="R644" s="7" t="str">
        <f>IFERROR(__xludf.DUMMYFUNCTION("""COMPUTED_VALUE"""),"K")</f>
        <v>K</v>
      </c>
    </row>
    <row r="645" ht="22.5" customHeight="1">
      <c r="A645" s="6">
        <v>644.0</v>
      </c>
      <c r="B645" s="6" t="str">
        <f>IFERROR(__xludf.DUMMYFUNCTION("""COMPUTED_VALUE"""),"Merakit Komponen Fabrikasi")</f>
        <v>Merakit Komponen Fabrikasi</v>
      </c>
      <c r="C645" s="6" t="str">
        <f>IFERROR(__xludf.DUMMYFUNCTION("""COMPUTED_VALUE"""),"SMKS Kelautan dan Perikanan Raha")</f>
        <v>SMKS Kelautan dan Perikanan Raha</v>
      </c>
      <c r="F645" s="6" t="str">
        <f>IFERROR(__xludf.DUMMYFUNCTION("""COMPUTED_VALUE"""),"SAIRA")</f>
        <v>SAIRA</v>
      </c>
      <c r="G645" s="6" t="str">
        <f>IFERROR(__xludf.DUMMYFUNCTION("""COMPUTED_VALUE"""),"7403165505820001")</f>
        <v>7403165505820001</v>
      </c>
      <c r="J645" s="7" t="str">
        <f>IFERROR(__xludf.DUMMYFUNCTION("""COMPUTED_VALUE"""),"PEREMPUAN")</f>
        <v>PEREMPUAN</v>
      </c>
      <c r="K645" s="6" t="str">
        <f>IFERROR(__xludf.DUMMYFUNCTION("""COMPUTED_VALUE"""),"Jl. S Goldaria No. 34 Raha")</f>
        <v>Jl. S Goldaria No. 34 Raha</v>
      </c>
      <c r="N645" s="8" t="s">
        <v>19</v>
      </c>
      <c r="R645" s="7" t="str">
        <f>IFERROR(__xludf.DUMMYFUNCTION("""COMPUTED_VALUE"""),"BK")</f>
        <v>BK</v>
      </c>
    </row>
    <row r="646" ht="22.5" customHeight="1">
      <c r="A646" s="6">
        <v>645.0</v>
      </c>
      <c r="B646" s="6" t="str">
        <f>IFERROR(__xludf.DUMMYFUNCTION("""COMPUTED_VALUE"""),"Merakit Komponen Fabrikasi")</f>
        <v>Merakit Komponen Fabrikasi</v>
      </c>
      <c r="C646" s="6" t="str">
        <f>IFERROR(__xludf.DUMMYFUNCTION("""COMPUTED_VALUE"""),"SMKS Kelautan dan Perikanan Raha")</f>
        <v>SMKS Kelautan dan Perikanan Raha</v>
      </c>
      <c r="F646" s="6" t="str">
        <f>IFERROR(__xludf.DUMMYFUNCTION("""COMPUTED_VALUE"""),"YUKAL AFAD ABRAR")</f>
        <v>YUKAL AFAD ABRAR</v>
      </c>
      <c r="G646" s="6" t="str">
        <f>IFERROR(__xludf.DUMMYFUNCTION("""COMPUTED_VALUE"""),"7406151603080002")</f>
        <v>7406151603080002</v>
      </c>
      <c r="J646" s="7" t="str">
        <f>IFERROR(__xludf.DUMMYFUNCTION("""COMPUTED_VALUE"""),"LAKI-LAKI")</f>
        <v>LAKI-LAKI</v>
      </c>
      <c r="K646" s="6" t="str">
        <f>IFERROR(__xludf.DUMMYFUNCTION("""COMPUTED_VALUE"""),"Desa Eemokolo, Kec.Kabaena Utara")</f>
        <v>Desa Eemokolo, Kec.Kabaena Utara</v>
      </c>
      <c r="N646" s="8" t="s">
        <v>19</v>
      </c>
      <c r="R646" s="7" t="str">
        <f>IFERROR(__xludf.DUMMYFUNCTION("""COMPUTED_VALUE"""),"K")</f>
        <v>K</v>
      </c>
    </row>
    <row r="647" ht="22.5" customHeight="1">
      <c r="A647" s="6">
        <v>646.0</v>
      </c>
      <c r="B647" s="6" t="str">
        <f>IFERROR(__xludf.DUMMYFUNCTION("""COMPUTED_VALUE"""),"Merakit Komponen Fabrikasi")</f>
        <v>Merakit Komponen Fabrikasi</v>
      </c>
      <c r="C647" s="6" t="str">
        <f>IFERROR(__xludf.DUMMYFUNCTION("""COMPUTED_VALUE"""),"SMKS Kelautan dan Perikanan Raha")</f>
        <v>SMKS Kelautan dan Perikanan Raha</v>
      </c>
      <c r="F647" s="6" t="str">
        <f>IFERROR(__xludf.DUMMYFUNCTION("""COMPUTED_VALUE"""),"IRFAN RAHMAN")</f>
        <v>IRFAN RAHMAN</v>
      </c>
      <c r="G647" s="6">
        <f>IFERROR(__xludf.DUMMYFUNCTION("""COMPUTED_VALUE"""),7.40411010790085E14)</f>
        <v>740411010790085</v>
      </c>
      <c r="J647" s="7" t="str">
        <f>IFERROR(__xludf.DUMMYFUNCTION("""COMPUTED_VALUE"""),"LAKI-LAKI")</f>
        <v>LAKI-LAKI</v>
      </c>
      <c r="K647" s="6" t="str">
        <f>IFERROR(__xludf.DUMMYFUNCTION("""COMPUTED_VALUE"""),"Wakoko, Kel. Wakoko, Kec. Pasar Wajo")</f>
        <v>Wakoko, Kel. Wakoko, Kec. Pasar Wajo</v>
      </c>
      <c r="N647" s="8" t="s">
        <v>19</v>
      </c>
      <c r="R647" s="7" t="str">
        <f>IFERROR(__xludf.DUMMYFUNCTION("""COMPUTED_VALUE"""),"K")</f>
        <v>K</v>
      </c>
    </row>
    <row r="648" ht="22.5" customHeight="1">
      <c r="A648" s="6">
        <v>647.0</v>
      </c>
      <c r="B648" s="6" t="str">
        <f>IFERROR(__xludf.DUMMYFUNCTION("""COMPUTED_VALUE"""),"Merakit Komponen Fabrikasi")</f>
        <v>Merakit Komponen Fabrikasi</v>
      </c>
      <c r="C648" s="6" t="str">
        <f>IFERROR(__xludf.DUMMYFUNCTION("""COMPUTED_VALUE"""),"SMKS Kelautan dan Perikanan Raha")</f>
        <v>SMKS Kelautan dan Perikanan Raha</v>
      </c>
      <c r="F648" s="6" t="str">
        <f>IFERROR(__xludf.DUMMYFUNCTION("""COMPUTED_VALUE"""),"AGUS INDIANTO")</f>
        <v>AGUS INDIANTO</v>
      </c>
      <c r="G648" s="6" t="str">
        <f>IFERROR(__xludf.DUMMYFUNCTION("""COMPUTED_VALUE"""),"7403140908990001")</f>
        <v>7403140908990001</v>
      </c>
      <c r="J648" s="7" t="str">
        <f>IFERROR(__xludf.DUMMYFUNCTION("""COMPUTED_VALUE"""),"LAKI-LAKI")</f>
        <v>LAKI-LAKI</v>
      </c>
      <c r="K648" s="6" t="str">
        <f>IFERROR(__xludf.DUMMYFUNCTION("""COMPUTED_VALUE"""),"Jln. Lumba-lumba")</f>
        <v>Jln. Lumba-lumba</v>
      </c>
      <c r="N648" s="8" t="s">
        <v>19</v>
      </c>
      <c r="R648" s="7" t="str">
        <f>IFERROR(__xludf.DUMMYFUNCTION("""COMPUTED_VALUE"""),"K")</f>
        <v>K</v>
      </c>
    </row>
    <row r="649" ht="22.5" customHeight="1">
      <c r="A649" s="6">
        <v>648.0</v>
      </c>
      <c r="B649" s="6" t="str">
        <f>IFERROR(__xludf.DUMMYFUNCTION("""COMPUTED_VALUE"""),"Pemeliharaan Kendaraan Ringan Sistem Injeksi ")</f>
        <v>Pemeliharaan Kendaraan Ringan Sistem Injeksi </v>
      </c>
      <c r="C649" s="6" t="str">
        <f>IFERROR(__xludf.DUMMYFUNCTION("""COMPUTED_VALUE"""),"SMK Negeri 2 Kolaka")</f>
        <v>SMK Negeri 2 Kolaka</v>
      </c>
      <c r="F649" s="6" t="str">
        <f>IFERROR(__xludf.DUMMYFUNCTION("""COMPUTED_VALUE"""),"FIKRA RAMADANI")</f>
        <v>FIKRA RAMADANI</v>
      </c>
      <c r="G649" s="6" t="str">
        <f>IFERROR(__xludf.DUMMYFUNCTION("""COMPUTED_VALUE"""),"7401012809080002")</f>
        <v>7401012809080002</v>
      </c>
      <c r="J649" s="7" t="str">
        <f>IFERROR(__xludf.DUMMYFUNCTION("""COMPUTED_VALUE"""),"LAKI-LAKI")</f>
        <v>LAKI-LAKI</v>
      </c>
      <c r="K649" s="6" t="str">
        <f>IFERROR(__xludf.DUMMYFUNCTION("""COMPUTED_VALUE"""),"Kec. Wundulako, Kab Kolaka")</f>
        <v>Kec. Wundulako, Kab Kolaka</v>
      </c>
      <c r="N649" s="8" t="s">
        <v>19</v>
      </c>
      <c r="R649" s="7" t="str">
        <f>IFERROR(__xludf.DUMMYFUNCTION("""COMPUTED_VALUE"""),"K")</f>
        <v>K</v>
      </c>
    </row>
    <row r="650" ht="22.5" customHeight="1">
      <c r="A650" s="6">
        <v>649.0</v>
      </c>
      <c r="B650" s="6" t="str">
        <f>IFERROR(__xludf.DUMMYFUNCTION("""COMPUTED_VALUE"""),"Pemeliharaan Kendaraan Ringan Sistem Injeksi ")</f>
        <v>Pemeliharaan Kendaraan Ringan Sistem Injeksi </v>
      </c>
      <c r="C650" s="6" t="str">
        <f>IFERROR(__xludf.DUMMYFUNCTION("""COMPUTED_VALUE"""),"SMK Negeri 2 Kolaka")</f>
        <v>SMK Negeri 2 Kolaka</v>
      </c>
      <c r="F650" s="6" t="str">
        <f>IFERROR(__xludf.DUMMYFUNCTION("""COMPUTED_VALUE"""),"GINO MANGAMBE")</f>
        <v>GINO MANGAMBE</v>
      </c>
      <c r="G650" s="6" t="str">
        <f>IFERROR(__xludf.DUMMYFUNCTION("""COMPUTED_VALUE"""),"7401071506080003")</f>
        <v>7401071506080003</v>
      </c>
      <c r="J650" s="7" t="str">
        <f>IFERROR(__xludf.DUMMYFUNCTION("""COMPUTED_VALUE"""),"LAKI-LAKI")</f>
        <v>LAKI-LAKI</v>
      </c>
      <c r="K650" s="6" t="str">
        <f>IFERROR(__xludf.DUMMYFUNCTION("""COMPUTED_VALUE"""),"Kec. Pomalaa, Kab. Kolaka")</f>
        <v>Kec. Pomalaa, Kab. Kolaka</v>
      </c>
      <c r="N650" s="8" t="s">
        <v>19</v>
      </c>
      <c r="R650" s="7" t="str">
        <f>IFERROR(__xludf.DUMMYFUNCTION("""COMPUTED_VALUE"""),"BK")</f>
        <v>BK</v>
      </c>
    </row>
    <row r="651" ht="22.5" customHeight="1">
      <c r="A651" s="6">
        <v>650.0</v>
      </c>
      <c r="B651" s="6" t="str">
        <f>IFERROR(__xludf.DUMMYFUNCTION("""COMPUTED_VALUE"""),"Pemeliharaan Kendaraan Ringan Sistem Injeksi ")</f>
        <v>Pemeliharaan Kendaraan Ringan Sistem Injeksi </v>
      </c>
      <c r="C651" s="6" t="str">
        <f>IFERROR(__xludf.DUMMYFUNCTION("""COMPUTED_VALUE"""),"SMK Negeri 2 Kolaka")</f>
        <v>SMK Negeri 2 Kolaka</v>
      </c>
      <c r="F651" s="6" t="str">
        <f>IFERROR(__xludf.DUMMYFUNCTION("""COMPUTED_VALUE"""),"HAMDIY MASYKUUR")</f>
        <v>HAMDIY MASYKUUR</v>
      </c>
      <c r="G651" s="6" t="str">
        <f>IFERROR(__xludf.DUMMYFUNCTION("""COMPUTED_VALUE"""),"7401010402090001")</f>
        <v>7401010402090001</v>
      </c>
      <c r="J651" s="7" t="str">
        <f>IFERROR(__xludf.DUMMYFUNCTION("""COMPUTED_VALUE"""),"LAKI-LAKI")</f>
        <v>LAKI-LAKI</v>
      </c>
      <c r="K651" s="6" t="str">
        <f>IFERROR(__xludf.DUMMYFUNCTION("""COMPUTED_VALUE"""),"Wundulako, Kab. Kolaka")</f>
        <v>Wundulako, Kab. Kolaka</v>
      </c>
      <c r="N651" s="8" t="s">
        <v>19</v>
      </c>
      <c r="R651" s="7" t="str">
        <f>IFERROR(__xludf.DUMMYFUNCTION("""COMPUTED_VALUE"""),"BK")</f>
        <v>BK</v>
      </c>
    </row>
    <row r="652" ht="22.5" customHeight="1">
      <c r="A652" s="6">
        <v>651.0</v>
      </c>
      <c r="B652" s="6" t="str">
        <f>IFERROR(__xludf.DUMMYFUNCTION("""COMPUTED_VALUE"""),"Pemeliharaan Kendaraan Ringan Sistem Injeksi ")</f>
        <v>Pemeliharaan Kendaraan Ringan Sistem Injeksi </v>
      </c>
      <c r="C652" s="6" t="str">
        <f>IFERROR(__xludf.DUMMYFUNCTION("""COMPUTED_VALUE"""),"SMK Negeri 2 Kolaka")</f>
        <v>SMK Negeri 2 Kolaka</v>
      </c>
      <c r="F652" s="6" t="str">
        <f>IFERROR(__xludf.DUMMYFUNCTION("""COMPUTED_VALUE"""),"ILHAM FARIT")</f>
        <v>ILHAM FARIT</v>
      </c>
      <c r="G652" s="6" t="str">
        <f>IFERROR(__xludf.DUMMYFUNCTION("""COMPUTED_VALUE"""),"7401072305080003")</f>
        <v>7401072305080003</v>
      </c>
      <c r="J652" s="7" t="str">
        <f>IFERROR(__xludf.DUMMYFUNCTION("""COMPUTED_VALUE"""),"LAKI-LAKI")</f>
        <v>LAKI-LAKI</v>
      </c>
      <c r="K652" s="6" t="str">
        <f>IFERROR(__xludf.DUMMYFUNCTION("""COMPUTED_VALUE"""),"Kec. Pomala, Kab. Kolaka")</f>
        <v>Kec. Pomala, Kab. Kolaka</v>
      </c>
      <c r="N652" s="8" t="s">
        <v>19</v>
      </c>
      <c r="R652" s="7" t="str">
        <f>IFERROR(__xludf.DUMMYFUNCTION("""COMPUTED_VALUE"""),"K")</f>
        <v>K</v>
      </c>
    </row>
    <row r="653" ht="22.5" customHeight="1">
      <c r="A653" s="6">
        <v>652.0</v>
      </c>
      <c r="B653" s="6" t="str">
        <f>IFERROR(__xludf.DUMMYFUNCTION("""COMPUTED_VALUE"""),"Pemeliharaan Kendaraan Ringan Sistem Injeksi ")</f>
        <v>Pemeliharaan Kendaraan Ringan Sistem Injeksi </v>
      </c>
      <c r="C653" s="6" t="str">
        <f>IFERROR(__xludf.DUMMYFUNCTION("""COMPUTED_VALUE"""),"SMK Negeri 2 Kolaka")</f>
        <v>SMK Negeri 2 Kolaka</v>
      </c>
      <c r="F653" s="6" t="str">
        <f>IFERROR(__xludf.DUMMYFUNCTION("""COMPUTED_VALUE"""),"LUTFIANSYAH PRATAMA")</f>
        <v>LUTFIANSYAH PRATAMA</v>
      </c>
      <c r="G653" s="6" t="str">
        <f>IFERROR(__xludf.DUMMYFUNCTION("""COMPUTED_VALUE"""),"7401120511080001")</f>
        <v>7401120511080001</v>
      </c>
      <c r="J653" s="7" t="str">
        <f>IFERROR(__xludf.DUMMYFUNCTION("""COMPUTED_VALUE"""),"LAKI-LAKI")</f>
        <v>LAKI-LAKI</v>
      </c>
      <c r="K653" s="6" t="str">
        <f>IFERROR(__xludf.DUMMYFUNCTION("""COMPUTED_VALUE"""),"Kec. Baula, Kab. Kolaka")</f>
        <v>Kec. Baula, Kab. Kolaka</v>
      </c>
      <c r="N653" s="8" t="s">
        <v>19</v>
      </c>
      <c r="R653" s="7" t="str">
        <f>IFERROR(__xludf.DUMMYFUNCTION("""COMPUTED_VALUE"""),"K")</f>
        <v>K</v>
      </c>
    </row>
    <row r="654" ht="22.5" customHeight="1">
      <c r="A654" s="6">
        <v>653.0</v>
      </c>
      <c r="B654" s="6" t="str">
        <f>IFERROR(__xludf.DUMMYFUNCTION("""COMPUTED_VALUE"""),"Pemeliharaan Kendaraan Ringan Sistem Injeksi ")</f>
        <v>Pemeliharaan Kendaraan Ringan Sistem Injeksi </v>
      </c>
      <c r="C654" s="6" t="str">
        <f>IFERROR(__xludf.DUMMYFUNCTION("""COMPUTED_VALUE"""),"SMK Negeri 2 Kolaka")</f>
        <v>SMK Negeri 2 Kolaka</v>
      </c>
      <c r="F654" s="6" t="str">
        <f>IFERROR(__xludf.DUMMYFUNCTION("""COMPUTED_VALUE"""),"M. HAYKAL SAPUTRA")</f>
        <v>M. HAYKAL SAPUTRA</v>
      </c>
      <c r="G654" s="6" t="str">
        <f>IFERROR(__xludf.DUMMYFUNCTION("""COMPUTED_VALUE"""),"7401011012070002")</f>
        <v>7401011012070002</v>
      </c>
      <c r="J654" s="7" t="str">
        <f>IFERROR(__xludf.DUMMYFUNCTION("""COMPUTED_VALUE"""),"LAKI-LAKI")</f>
        <v>LAKI-LAKI</v>
      </c>
      <c r="K654" s="6" t="str">
        <f>IFERROR(__xludf.DUMMYFUNCTION("""COMPUTED_VALUE"""),"Bende")</f>
        <v>Bende</v>
      </c>
      <c r="N654" s="8" t="s">
        <v>19</v>
      </c>
      <c r="R654" s="7" t="str">
        <f>IFERROR(__xludf.DUMMYFUNCTION("""COMPUTED_VALUE"""),"BK")</f>
        <v>BK</v>
      </c>
    </row>
    <row r="655" ht="22.5" customHeight="1">
      <c r="A655" s="6">
        <v>654.0</v>
      </c>
      <c r="B655" s="6" t="str">
        <f>IFERROR(__xludf.DUMMYFUNCTION("""COMPUTED_VALUE"""),"Pemeliharaan Kendaraan Ringan Sistem Injeksi ")</f>
        <v>Pemeliharaan Kendaraan Ringan Sistem Injeksi </v>
      </c>
      <c r="C655" s="6" t="str">
        <f>IFERROR(__xludf.DUMMYFUNCTION("""COMPUTED_VALUE"""),"SMK Negeri 2 Kolaka")</f>
        <v>SMK Negeri 2 Kolaka</v>
      </c>
      <c r="F655" s="6" t="str">
        <f>IFERROR(__xludf.DUMMYFUNCTION("""COMPUTED_VALUE"""),"M. JAKAL")</f>
        <v>M. JAKAL</v>
      </c>
      <c r="G655" s="6" t="str">
        <f>IFERROR(__xludf.DUMMYFUNCTION("""COMPUTED_VALUE"""),"7401250302080001")</f>
        <v>7401250302080001</v>
      </c>
      <c r="J655" s="7" t="str">
        <f>IFERROR(__xludf.DUMMYFUNCTION("""COMPUTED_VALUE"""),"LAKI-LAKI")</f>
        <v>LAKI-LAKI</v>
      </c>
      <c r="K655" s="6" t="str">
        <f>IFERROR(__xludf.DUMMYFUNCTION("""COMPUTED_VALUE"""),"Kec. Wundulako, kab. Kolaka")</f>
        <v>Kec. Wundulako, kab. Kolaka</v>
      </c>
      <c r="N655" s="8" t="s">
        <v>19</v>
      </c>
      <c r="R655" s="7" t="str">
        <f>IFERROR(__xludf.DUMMYFUNCTION("""COMPUTED_VALUE"""),"K")</f>
        <v>K</v>
      </c>
    </row>
    <row r="656" ht="22.5" customHeight="1">
      <c r="A656" s="6">
        <v>655.0</v>
      </c>
      <c r="B656" s="6" t="str">
        <f>IFERROR(__xludf.DUMMYFUNCTION("""COMPUTED_VALUE"""),"Pemeliharaan Kendaraan Ringan Sistem Injeksi ")</f>
        <v>Pemeliharaan Kendaraan Ringan Sistem Injeksi </v>
      </c>
      <c r="C656" s="6" t="str">
        <f>IFERROR(__xludf.DUMMYFUNCTION("""COMPUTED_VALUE"""),"SMK Negeri 2 Kolaka")</f>
        <v>SMK Negeri 2 Kolaka</v>
      </c>
      <c r="F656" s="6" t="str">
        <f>IFERROR(__xludf.DUMMYFUNCTION("""COMPUTED_VALUE"""),"MUH. ADNAN FAIZ")</f>
        <v>MUH. ADNAN FAIZ</v>
      </c>
      <c r="G656" s="6" t="str">
        <f>IFERROR(__xludf.DUMMYFUNCTION("""COMPUTED_VALUE"""),"7401120302080001")</f>
        <v>7401120302080001</v>
      </c>
      <c r="J656" s="7" t="str">
        <f>IFERROR(__xludf.DUMMYFUNCTION("""COMPUTED_VALUE"""),"LAKI-LAKI")</f>
        <v>LAKI-LAKI</v>
      </c>
      <c r="K656" s="6" t="str">
        <f>IFERROR(__xludf.DUMMYFUNCTION("""COMPUTED_VALUE"""),"Desa Ulu Baula, Kec. Baula, Kab. Kolaka, ")</f>
        <v>Desa Ulu Baula, Kec. Baula, Kab. Kolaka, </v>
      </c>
      <c r="N656" s="8" t="s">
        <v>19</v>
      </c>
      <c r="R656" s="7" t="str">
        <f>IFERROR(__xludf.DUMMYFUNCTION("""COMPUTED_VALUE"""),"K")</f>
        <v>K</v>
      </c>
    </row>
    <row r="657" ht="22.5" customHeight="1">
      <c r="A657" s="6">
        <v>656.0</v>
      </c>
      <c r="B657" s="6" t="str">
        <f>IFERROR(__xludf.DUMMYFUNCTION("""COMPUTED_VALUE"""),"Pemeliharaan Kendaraan Ringan Sistem Injeksi ")</f>
        <v>Pemeliharaan Kendaraan Ringan Sistem Injeksi </v>
      </c>
      <c r="C657" s="6" t="str">
        <f>IFERROR(__xludf.DUMMYFUNCTION("""COMPUTED_VALUE"""),"SMK Negeri 2 Kolaka")</f>
        <v>SMK Negeri 2 Kolaka</v>
      </c>
      <c r="F657" s="6" t="str">
        <f>IFERROR(__xludf.DUMMYFUNCTION("""COMPUTED_VALUE"""),"MUH. ALIF")</f>
        <v>MUH. ALIF</v>
      </c>
      <c r="G657" s="6" t="str">
        <f>IFERROR(__xludf.DUMMYFUNCTION("""COMPUTED_VALUE"""),"7401121504080001")</f>
        <v>7401121504080001</v>
      </c>
      <c r="J657" s="7" t="str">
        <f>IFERROR(__xludf.DUMMYFUNCTION("""COMPUTED_VALUE"""),"LAKI-LAKI")</f>
        <v>LAKI-LAKI</v>
      </c>
      <c r="K657" s="6" t="str">
        <f>IFERROR(__xludf.DUMMYFUNCTION("""COMPUTED_VALUE"""),"Longori Dusun 3 lorong Veteran")</f>
        <v>Longori Dusun 3 lorong Veteran</v>
      </c>
      <c r="N657" s="8" t="s">
        <v>19</v>
      </c>
      <c r="R657" s="7" t="str">
        <f>IFERROR(__xludf.DUMMYFUNCTION("""COMPUTED_VALUE"""),"K")</f>
        <v>K</v>
      </c>
    </row>
    <row r="658" ht="22.5" customHeight="1">
      <c r="A658" s="6">
        <v>657.0</v>
      </c>
      <c r="B658" s="6" t="str">
        <f>IFERROR(__xludf.DUMMYFUNCTION("""COMPUTED_VALUE"""),"Pemeliharaan Kendaraan Ringan Sistem Injeksi ")</f>
        <v>Pemeliharaan Kendaraan Ringan Sistem Injeksi </v>
      </c>
      <c r="C658" s="6" t="str">
        <f>IFERROR(__xludf.DUMMYFUNCTION("""COMPUTED_VALUE"""),"SMK Negeri 2 Kolaka")</f>
        <v>SMK Negeri 2 Kolaka</v>
      </c>
      <c r="F658" s="6" t="str">
        <f>IFERROR(__xludf.DUMMYFUNCTION("""COMPUTED_VALUE"""),"MUH. FATHIR AL AZHAR")</f>
        <v>MUH. FATHIR AL AZHAR</v>
      </c>
      <c r="G658" s="6" t="str">
        <f>IFERROR(__xludf.DUMMYFUNCTION("""COMPUTED_VALUE"""),"7401041608070001")</f>
        <v>7401041608070001</v>
      </c>
      <c r="J658" s="7" t="str">
        <f>IFERROR(__xludf.DUMMYFUNCTION("""COMPUTED_VALUE"""),"LAKI-LAKI")</f>
        <v>LAKI-LAKI</v>
      </c>
      <c r="K658" s="6" t="str">
        <f>IFERROR(__xludf.DUMMYFUNCTION("""COMPUTED_VALUE"""),"Kec. Wundulako, Kab. Kolaka")</f>
        <v>Kec. Wundulako, Kab. Kolaka</v>
      </c>
      <c r="N658" s="8" t="s">
        <v>19</v>
      </c>
      <c r="R658" s="7" t="str">
        <f>IFERROR(__xludf.DUMMYFUNCTION("""COMPUTED_VALUE"""),"BK")</f>
        <v>BK</v>
      </c>
    </row>
    <row r="659" ht="22.5" customHeight="1">
      <c r="A659" s="6">
        <v>658.0</v>
      </c>
      <c r="B659" s="6" t="str">
        <f>IFERROR(__xludf.DUMMYFUNCTION("""COMPUTED_VALUE"""),"Pemeliharaan Kendaraan Ringan Sistem Injeksi ")</f>
        <v>Pemeliharaan Kendaraan Ringan Sistem Injeksi </v>
      </c>
      <c r="C659" s="6" t="str">
        <f>IFERROR(__xludf.DUMMYFUNCTION("""COMPUTED_VALUE"""),"SMK Negeri 2 Kolaka")</f>
        <v>SMK Negeri 2 Kolaka</v>
      </c>
      <c r="F659" s="6" t="str">
        <f>IFERROR(__xludf.DUMMYFUNCTION("""COMPUTED_VALUE"""),"MUH. IKSAN")</f>
        <v>MUH. IKSAN</v>
      </c>
      <c r="G659" s="6" t="str">
        <f>IFERROR(__xludf.DUMMYFUNCTION("""COMPUTED_VALUE"""),"7401120404110001")</f>
        <v>7401120404110001</v>
      </c>
      <c r="J659" s="7" t="str">
        <f>IFERROR(__xludf.DUMMYFUNCTION("""COMPUTED_VALUE"""),"LAKI-LAKI")</f>
        <v>LAKI-LAKI</v>
      </c>
      <c r="K659" s="6" t="str">
        <f>IFERROR(__xludf.DUMMYFUNCTION("""COMPUTED_VALUE"""),"Baula, Kab. kolaka")</f>
        <v>Baula, Kab. kolaka</v>
      </c>
      <c r="N659" s="8" t="s">
        <v>19</v>
      </c>
      <c r="R659" s="7" t="str">
        <f>IFERROR(__xludf.DUMMYFUNCTION("""COMPUTED_VALUE"""),"BK")</f>
        <v>BK</v>
      </c>
    </row>
    <row r="660" ht="22.5" customHeight="1">
      <c r="A660" s="6">
        <v>659.0</v>
      </c>
      <c r="B660" s="6" t="str">
        <f>IFERROR(__xludf.DUMMYFUNCTION("""COMPUTED_VALUE"""),"Pemeliharaan Kendaraan Ringan Sistem Injeksi ")</f>
        <v>Pemeliharaan Kendaraan Ringan Sistem Injeksi </v>
      </c>
      <c r="C660" s="6" t="str">
        <f>IFERROR(__xludf.DUMMYFUNCTION("""COMPUTED_VALUE"""),"SMK Negeri 2 Kolaka")</f>
        <v>SMK Negeri 2 Kolaka</v>
      </c>
      <c r="F660" s="6" t="str">
        <f>IFERROR(__xludf.DUMMYFUNCTION("""COMPUTED_VALUE"""),"MUH. RASIAH")</f>
        <v>MUH. RASIAH</v>
      </c>
      <c r="G660" s="6" t="str">
        <f>IFERROR(__xludf.DUMMYFUNCTION("""COMPUTED_VALUE"""),"7401010508070002")</f>
        <v>7401010508070002</v>
      </c>
      <c r="J660" s="7" t="str">
        <f>IFERROR(__xludf.DUMMYFUNCTION("""COMPUTED_VALUE"""),"LAKI-LAKI")</f>
        <v>LAKI-LAKI</v>
      </c>
      <c r="K660" s="6" t="str">
        <f>IFERROR(__xludf.DUMMYFUNCTION("""COMPUTED_VALUE"""),"Kec. Wundulako, Kab. Kolaka")</f>
        <v>Kec. Wundulako, Kab. Kolaka</v>
      </c>
      <c r="N660" s="8" t="s">
        <v>19</v>
      </c>
      <c r="R660" s="7" t="str">
        <f>IFERROR(__xludf.DUMMYFUNCTION("""COMPUTED_VALUE"""),"BK")</f>
        <v>BK</v>
      </c>
    </row>
    <row r="661" ht="22.5" customHeight="1">
      <c r="A661" s="6">
        <v>660.0</v>
      </c>
      <c r="B661" s="6" t="str">
        <f>IFERROR(__xludf.DUMMYFUNCTION("""COMPUTED_VALUE"""),"Pemeliharaan Kendaraan Ringan Sistem Injeksi ")</f>
        <v>Pemeliharaan Kendaraan Ringan Sistem Injeksi </v>
      </c>
      <c r="C661" s="6" t="str">
        <f>IFERROR(__xludf.DUMMYFUNCTION("""COMPUTED_VALUE"""),"SMK Negeri 2 Kolaka")</f>
        <v>SMK Negeri 2 Kolaka</v>
      </c>
      <c r="F661" s="6" t="str">
        <f>IFERROR(__xludf.DUMMYFUNCTION("""COMPUTED_VALUE"""),"MUH. RIFALDI")</f>
        <v>MUH. RIFALDI</v>
      </c>
      <c r="G661" s="6" t="str">
        <f>IFERROR(__xludf.DUMMYFUNCTION("""COMPUTED_VALUE"""),"7307080108080001")</f>
        <v>7307080108080001</v>
      </c>
      <c r="J661" s="7" t="str">
        <f>IFERROR(__xludf.DUMMYFUNCTION("""COMPUTED_VALUE"""),"LAKI-LAKI")</f>
        <v>LAKI-LAKI</v>
      </c>
      <c r="K661" s="6"/>
      <c r="N661" s="8" t="s">
        <v>19</v>
      </c>
      <c r="R661" s="7" t="str">
        <f>IFERROR(__xludf.DUMMYFUNCTION("""COMPUTED_VALUE"""),"K")</f>
        <v>K</v>
      </c>
    </row>
    <row r="662" ht="22.5" customHeight="1">
      <c r="A662" s="6">
        <v>661.0</v>
      </c>
      <c r="B662" s="6" t="str">
        <f>IFERROR(__xludf.DUMMYFUNCTION("""COMPUTED_VALUE"""),"Pemeliharaan Kendaraan Ringan Sistem Injeksi ")</f>
        <v>Pemeliharaan Kendaraan Ringan Sistem Injeksi </v>
      </c>
      <c r="C662" s="6" t="str">
        <f>IFERROR(__xludf.DUMMYFUNCTION("""COMPUTED_VALUE"""),"SMK Negeri 2 Kolaka")</f>
        <v>SMK Negeri 2 Kolaka</v>
      </c>
      <c r="F662" s="6" t="str">
        <f>IFERROR(__xludf.DUMMYFUNCTION("""COMPUTED_VALUE"""),"MUH. ZARUL RIHWAL")</f>
        <v>MUH. ZARUL RIHWAL</v>
      </c>
      <c r="G662" s="6" t="str">
        <f>IFERROR(__xludf.DUMMYFUNCTION("""COMPUTED_VALUE"""),"7401120803080001")</f>
        <v>7401120803080001</v>
      </c>
      <c r="J662" s="7" t="str">
        <f>IFERROR(__xludf.DUMMYFUNCTION("""COMPUTED_VALUE"""),"LAKI-LAKI")</f>
        <v>LAKI-LAKI</v>
      </c>
      <c r="K662" s="6" t="str">
        <f>IFERROR(__xludf.DUMMYFUNCTION("""COMPUTED_VALUE"""),"Kec. Baula, Kab. Kolaka")</f>
        <v>Kec. Baula, Kab. Kolaka</v>
      </c>
      <c r="N662" s="8" t="s">
        <v>19</v>
      </c>
      <c r="R662" s="7" t="str">
        <f>IFERROR(__xludf.DUMMYFUNCTION("""COMPUTED_VALUE"""),"BK")</f>
        <v>BK</v>
      </c>
    </row>
    <row r="663" ht="22.5" customHeight="1">
      <c r="A663" s="6">
        <v>662.0</v>
      </c>
      <c r="B663" s="6" t="str">
        <f>IFERROR(__xludf.DUMMYFUNCTION("""COMPUTED_VALUE"""),"Pemeliharaan Kendaraan Ringan Sistem Injeksi ")</f>
        <v>Pemeliharaan Kendaraan Ringan Sistem Injeksi </v>
      </c>
      <c r="C663" s="6" t="str">
        <f>IFERROR(__xludf.DUMMYFUNCTION("""COMPUTED_VALUE"""),"SMK Negeri 2 Kolaka")</f>
        <v>SMK Negeri 2 Kolaka</v>
      </c>
      <c r="F663" s="6" t="str">
        <f>IFERROR(__xludf.DUMMYFUNCTION("""COMPUTED_VALUE"""),"MUH. FIKAR")</f>
        <v>MUH. FIKAR</v>
      </c>
      <c r="G663" s="6" t="str">
        <f>IFERROR(__xludf.DUMMYFUNCTION("""COMPUTED_VALUE"""),"7401070310080002")</f>
        <v>7401070310080002</v>
      </c>
      <c r="J663" s="7" t="str">
        <f>IFERROR(__xludf.DUMMYFUNCTION("""COMPUTED_VALUE"""),"LAKI-LAKI")</f>
        <v>LAKI-LAKI</v>
      </c>
      <c r="K663" s="6" t="str">
        <f>IFERROR(__xludf.DUMMYFUNCTION("""COMPUTED_VALUE"""),"Kec. Pomala, Kab. Kolaka")</f>
        <v>Kec. Pomala, Kab. Kolaka</v>
      </c>
      <c r="N663" s="8" t="s">
        <v>19</v>
      </c>
      <c r="R663" s="7" t="str">
        <f>IFERROR(__xludf.DUMMYFUNCTION("""COMPUTED_VALUE"""),"BK")</f>
        <v>BK</v>
      </c>
    </row>
    <row r="664" ht="22.5" customHeight="1">
      <c r="A664" s="6">
        <v>663.0</v>
      </c>
      <c r="B664" s="6" t="str">
        <f>IFERROR(__xludf.DUMMYFUNCTION("""COMPUTED_VALUE"""),"Pemeliharaan Kendaraan Ringan Sistem Injeksi ")</f>
        <v>Pemeliharaan Kendaraan Ringan Sistem Injeksi </v>
      </c>
      <c r="C664" s="6" t="str">
        <f>IFERROR(__xludf.DUMMYFUNCTION("""COMPUTED_VALUE"""),"SMK Negeri 2 Kolaka")</f>
        <v>SMK Negeri 2 Kolaka</v>
      </c>
      <c r="F664" s="6" t="str">
        <f>IFERROR(__xludf.DUMMYFUNCTION("""COMPUTED_VALUE"""),"Muhammad Fawa'id Aqil Maiwa")</f>
        <v>Muhammad Fawa'id Aqil Maiwa</v>
      </c>
      <c r="G664" s="6" t="str">
        <f>IFERROR(__xludf.DUMMYFUNCTION("""COMPUTED_VALUE"""),"7401010410080001")</f>
        <v>7401010410080001</v>
      </c>
      <c r="J664" s="7" t="str">
        <f>IFERROR(__xludf.DUMMYFUNCTION("""COMPUTED_VALUE"""),"LAKI-LAKI")</f>
        <v>LAKI-LAKI</v>
      </c>
      <c r="K664" s="6" t="str">
        <f>IFERROR(__xludf.DUMMYFUNCTION("""COMPUTED_VALUE"""),"-")</f>
        <v>-</v>
      </c>
      <c r="N664" s="8" t="s">
        <v>19</v>
      </c>
      <c r="R664" s="7" t="str">
        <f>IFERROR(__xludf.DUMMYFUNCTION("""COMPUTED_VALUE"""),"K")</f>
        <v>K</v>
      </c>
    </row>
    <row r="665" ht="22.5" customHeight="1">
      <c r="A665" s="6">
        <v>664.0</v>
      </c>
      <c r="B665" s="6" t="str">
        <f>IFERROR(__xludf.DUMMYFUNCTION("""COMPUTED_VALUE"""),"Pemeliharaan Kendaraan Ringan Sistem Injeksi ")</f>
        <v>Pemeliharaan Kendaraan Ringan Sistem Injeksi </v>
      </c>
      <c r="C665" s="6" t="str">
        <f>IFERROR(__xludf.DUMMYFUNCTION("""COMPUTED_VALUE"""),"SMK Negeri 2 Kolaka")</f>
        <v>SMK Negeri 2 Kolaka</v>
      </c>
      <c r="F665" s="6" t="str">
        <f>IFERROR(__xludf.DUMMYFUNCTION("""COMPUTED_VALUE"""),"MUHAMMAD TASLIM")</f>
        <v>MUHAMMAD TASLIM</v>
      </c>
      <c r="G665" s="6" t="str">
        <f>IFERROR(__xludf.DUMMYFUNCTION("""COMPUTED_VALUE"""),"7401070511070001")</f>
        <v>7401070511070001</v>
      </c>
      <c r="J665" s="7" t="str">
        <f>IFERROR(__xludf.DUMMYFUNCTION("""COMPUTED_VALUE"""),"LAKI-LAKI")</f>
        <v>LAKI-LAKI</v>
      </c>
      <c r="K665" s="6" t="str">
        <f>IFERROR(__xludf.DUMMYFUNCTION("""COMPUTED_VALUE"""),"Kec. Pomalaa, Kab. Kolaka")</f>
        <v>Kec. Pomalaa, Kab. Kolaka</v>
      </c>
      <c r="N665" s="8" t="s">
        <v>19</v>
      </c>
      <c r="R665" s="7" t="str">
        <f>IFERROR(__xludf.DUMMYFUNCTION("""COMPUTED_VALUE"""),"K")</f>
        <v>K</v>
      </c>
    </row>
    <row r="666" ht="22.5" customHeight="1">
      <c r="A666" s="6">
        <v>665.0</v>
      </c>
      <c r="B666" s="6" t="str">
        <f>IFERROR(__xludf.DUMMYFUNCTION("""COMPUTED_VALUE"""),"Pemeliharaan Kendaraan Ringan Sistem Injeksi ")</f>
        <v>Pemeliharaan Kendaraan Ringan Sistem Injeksi </v>
      </c>
      <c r="C666" s="6" t="str">
        <f>IFERROR(__xludf.DUMMYFUNCTION("""COMPUTED_VALUE"""),"SMK Negeri 2 Kolaka")</f>
        <v>SMK Negeri 2 Kolaka</v>
      </c>
      <c r="F666" s="6" t="str">
        <f>IFERROR(__xludf.DUMMYFUNCTION("""COMPUTED_VALUE"""),"PUTRA SETIAWAN")</f>
        <v>PUTRA SETIAWAN</v>
      </c>
      <c r="G666" s="6" t="str">
        <f>IFERROR(__xludf.DUMMYFUNCTION("""COMPUTED_VALUE"""),"7401120112080002")</f>
        <v>7401120112080002</v>
      </c>
      <c r="J666" s="7" t="str">
        <f>IFERROR(__xludf.DUMMYFUNCTION("""COMPUTED_VALUE"""),"LAKI-LAKI")</f>
        <v>LAKI-LAKI</v>
      </c>
      <c r="K666" s="6" t="str">
        <f>IFERROR(__xludf.DUMMYFUNCTION("""COMPUTED_VALUE"""),"Kec. Pomalaa, Kab. Kolaka")</f>
        <v>Kec. Pomalaa, Kab. Kolaka</v>
      </c>
      <c r="N666" s="8" t="s">
        <v>19</v>
      </c>
      <c r="R666" s="7" t="str">
        <f>IFERROR(__xludf.DUMMYFUNCTION("""COMPUTED_VALUE"""),"BK")</f>
        <v>BK</v>
      </c>
    </row>
    <row r="667" ht="22.5" customHeight="1">
      <c r="A667" s="6">
        <v>666.0</v>
      </c>
      <c r="B667" s="6" t="str">
        <f>IFERROR(__xludf.DUMMYFUNCTION("""COMPUTED_VALUE"""),"Pemeliharaan Kendaraan Ringan Sistem Injeksi ")</f>
        <v>Pemeliharaan Kendaraan Ringan Sistem Injeksi </v>
      </c>
      <c r="C667" s="6" t="str">
        <f>IFERROR(__xludf.DUMMYFUNCTION("""COMPUTED_VALUE"""),"SMK Negeri 2 Kolaka")</f>
        <v>SMK Negeri 2 Kolaka</v>
      </c>
      <c r="F667" s="6" t="str">
        <f>IFERROR(__xludf.DUMMYFUNCTION("""COMPUTED_VALUE"""),"Rafli")</f>
        <v>Rafli</v>
      </c>
      <c r="G667" s="6" t="str">
        <f>IFERROR(__xludf.DUMMYFUNCTION("""COMPUTED_VALUE"""),"7401041601090001")</f>
        <v>7401041601090001</v>
      </c>
      <c r="J667" s="7" t="str">
        <f>IFERROR(__xludf.DUMMYFUNCTION("""COMPUTED_VALUE"""),"LAKI-LAKI")</f>
        <v>LAKI-LAKI</v>
      </c>
      <c r="K667" s="6" t="str">
        <f>IFERROR(__xludf.DUMMYFUNCTION("""COMPUTED_VALUE"""),"Lamekongga, Kab. Kolaka")</f>
        <v>Lamekongga, Kab. Kolaka</v>
      </c>
      <c r="N667" s="8" t="s">
        <v>19</v>
      </c>
      <c r="R667" s="7" t="str">
        <f>IFERROR(__xludf.DUMMYFUNCTION("""COMPUTED_VALUE"""),"K")</f>
        <v>K</v>
      </c>
    </row>
    <row r="668" ht="22.5" customHeight="1">
      <c r="A668" s="6">
        <v>667.0</v>
      </c>
      <c r="B668" s="6" t="str">
        <f>IFERROR(__xludf.DUMMYFUNCTION("""COMPUTED_VALUE"""),"Pemeliharaan Kendaraan Ringan Sistem Injeksi ")</f>
        <v>Pemeliharaan Kendaraan Ringan Sistem Injeksi </v>
      </c>
      <c r="C668" s="6" t="str">
        <f>IFERROR(__xludf.DUMMYFUNCTION("""COMPUTED_VALUE"""),"SMK Negeri 2 Kolaka")</f>
        <v>SMK Negeri 2 Kolaka</v>
      </c>
      <c r="F668" s="6" t="str">
        <f>IFERROR(__xludf.DUMMYFUNCTION("""COMPUTED_VALUE"""),"RANDY")</f>
        <v>RANDY</v>
      </c>
      <c r="G668" s="6" t="str">
        <f>IFERROR(__xludf.DUMMYFUNCTION("""COMPUTED_VALUE"""),"7401122105080002")</f>
        <v>7401122105080002</v>
      </c>
      <c r="J668" s="7" t="str">
        <f>IFERROR(__xludf.DUMMYFUNCTION("""COMPUTED_VALUE"""),"LAKI-LAKI")</f>
        <v>LAKI-LAKI</v>
      </c>
      <c r="K668" s="6" t="str">
        <f>IFERROR(__xludf.DUMMYFUNCTION("""COMPUTED_VALUE"""),"Desa Puulemo, Kec. Baula, Kab. Kolaka")</f>
        <v>Desa Puulemo, Kec. Baula, Kab. Kolaka</v>
      </c>
      <c r="N668" s="8" t="s">
        <v>19</v>
      </c>
      <c r="R668" s="7" t="str">
        <f>IFERROR(__xludf.DUMMYFUNCTION("""COMPUTED_VALUE"""),"BK")</f>
        <v>BK</v>
      </c>
    </row>
    <row r="669" ht="22.5" customHeight="1">
      <c r="A669" s="6">
        <v>668.0</v>
      </c>
      <c r="B669" s="6" t="str">
        <f>IFERROR(__xludf.DUMMYFUNCTION("""COMPUTED_VALUE"""),"Pemeliharaan Kendaraan Ringan Sistem Injeksi ")</f>
        <v>Pemeliharaan Kendaraan Ringan Sistem Injeksi </v>
      </c>
      <c r="C669" s="6" t="str">
        <f>IFERROR(__xludf.DUMMYFUNCTION("""COMPUTED_VALUE"""),"SMK Negeri 2 Kolaka")</f>
        <v>SMK Negeri 2 Kolaka</v>
      </c>
      <c r="F669" s="6" t="str">
        <f>IFERROR(__xludf.DUMMYFUNCTION("""COMPUTED_VALUE"""),"REHAN")</f>
        <v>REHAN</v>
      </c>
      <c r="G669" s="6" t="str">
        <f>IFERROR(__xludf.DUMMYFUNCTION("""COMPUTED_VALUE"""),"7401122409130001")</f>
        <v>7401122409130001</v>
      </c>
      <c r="J669" s="7" t="str">
        <f>IFERROR(__xludf.DUMMYFUNCTION("""COMPUTED_VALUE"""),"LAKI-LAKI")</f>
        <v>LAKI-LAKI</v>
      </c>
      <c r="K669" s="6" t="str">
        <f>IFERROR(__xludf.DUMMYFUNCTION("""COMPUTED_VALUE"""),"Kecamatan Baula, Kab. Kolaka")</f>
        <v>Kecamatan Baula, Kab. Kolaka</v>
      </c>
      <c r="N669" s="8" t="s">
        <v>19</v>
      </c>
      <c r="R669" s="7" t="str">
        <f>IFERROR(__xludf.DUMMYFUNCTION("""COMPUTED_VALUE"""),"K")</f>
        <v>K</v>
      </c>
    </row>
    <row r="670" ht="22.5" customHeight="1">
      <c r="A670" s="6">
        <v>669.0</v>
      </c>
      <c r="B670" s="6" t="str">
        <f>IFERROR(__xludf.DUMMYFUNCTION("""COMPUTED_VALUE"""),"Pemeliharaan Kendaraan Ringan Sistem Injeksi ")</f>
        <v>Pemeliharaan Kendaraan Ringan Sistem Injeksi </v>
      </c>
      <c r="C670" s="6" t="str">
        <f>IFERROR(__xludf.DUMMYFUNCTION("""COMPUTED_VALUE"""),"SMK Negeri 2 Kolaka")</f>
        <v>SMK Negeri 2 Kolaka</v>
      </c>
      <c r="F670" s="6" t="str">
        <f>IFERROR(__xludf.DUMMYFUNCTION("""COMPUTED_VALUE"""),"RESKY ADITYA")</f>
        <v>RESKY ADITYA</v>
      </c>
      <c r="G670" s="6" t="str">
        <f>IFERROR(__xludf.DUMMYFUNCTION("""COMPUTED_VALUE"""),"7401120707080001")</f>
        <v>7401120707080001</v>
      </c>
      <c r="J670" s="7" t="str">
        <f>IFERROR(__xludf.DUMMYFUNCTION("""COMPUTED_VALUE"""),"LAKI-LAKI")</f>
        <v>LAKI-LAKI</v>
      </c>
      <c r="K670" s="6" t="str">
        <f>IFERROR(__xludf.DUMMYFUNCTION("""COMPUTED_VALUE"""),"Pewutaa, Kec. Baula, Kab. Kolaka")</f>
        <v>Pewutaa, Kec. Baula, Kab. Kolaka</v>
      </c>
      <c r="N670" s="8" t="s">
        <v>19</v>
      </c>
      <c r="R670" s="7" t="str">
        <f>IFERROR(__xludf.DUMMYFUNCTION("""COMPUTED_VALUE"""),"K")</f>
        <v>K</v>
      </c>
    </row>
    <row r="671" ht="22.5" customHeight="1">
      <c r="A671" s="6">
        <v>670.0</v>
      </c>
      <c r="B671" s="6" t="str">
        <f>IFERROR(__xludf.DUMMYFUNCTION("""COMPUTED_VALUE"""),"Pemeliharaan Kendaraan Ringan Sistem Injeksi ")</f>
        <v>Pemeliharaan Kendaraan Ringan Sistem Injeksi </v>
      </c>
      <c r="C671" s="6" t="str">
        <f>IFERROR(__xludf.DUMMYFUNCTION("""COMPUTED_VALUE"""),"SMK Negeri 2 Kolaka")</f>
        <v>SMK Negeri 2 Kolaka</v>
      </c>
      <c r="F671" s="6" t="str">
        <f>IFERROR(__xludf.DUMMYFUNCTION("""COMPUTED_VALUE"""),"Reval Diansyah")</f>
        <v>Reval Diansyah</v>
      </c>
      <c r="G671" s="6" t="str">
        <f>IFERROR(__xludf.DUMMYFUNCTION("""COMPUTED_VALUE"""),"7401010712080002")</f>
        <v>7401010712080002</v>
      </c>
      <c r="J671" s="7" t="str">
        <f>IFERROR(__xludf.DUMMYFUNCTION("""COMPUTED_VALUE"""),"LAKI-LAKI")</f>
        <v>LAKI-LAKI</v>
      </c>
      <c r="K671" s="6" t="str">
        <f>IFERROR(__xludf.DUMMYFUNCTION("""COMPUTED_VALUE"""),"Kel. Ngapa, Kec. Wundulako, Kab. Kolaka")</f>
        <v>Kel. Ngapa, Kec. Wundulako, Kab. Kolaka</v>
      </c>
      <c r="N671" s="8" t="s">
        <v>19</v>
      </c>
      <c r="R671" s="7" t="str">
        <f>IFERROR(__xludf.DUMMYFUNCTION("""COMPUTED_VALUE"""),"K")</f>
        <v>K</v>
      </c>
    </row>
    <row r="672" ht="22.5" customHeight="1">
      <c r="A672" s="6">
        <v>671.0</v>
      </c>
      <c r="B672" s="6" t="str">
        <f>IFERROR(__xludf.DUMMYFUNCTION("""COMPUTED_VALUE"""),"Pemeliharaan Kendaraan Ringan Sistem Injeksi ")</f>
        <v>Pemeliharaan Kendaraan Ringan Sistem Injeksi </v>
      </c>
      <c r="C672" s="6" t="str">
        <f>IFERROR(__xludf.DUMMYFUNCTION("""COMPUTED_VALUE"""),"SMK Negeri 2 Kolaka")</f>
        <v>SMK Negeri 2 Kolaka</v>
      </c>
      <c r="F672" s="6" t="str">
        <f>IFERROR(__xludf.DUMMYFUNCTION("""COMPUTED_VALUE"""),"RIFKI FAUZI")</f>
        <v>RIFKI FAUZI</v>
      </c>
      <c r="G672" s="6" t="str">
        <f>IFERROR(__xludf.DUMMYFUNCTION("""COMPUTED_VALUE"""),"7401010305080003")</f>
        <v>7401010305080003</v>
      </c>
      <c r="J672" s="7" t="str">
        <f>IFERROR(__xludf.DUMMYFUNCTION("""COMPUTED_VALUE"""),"LAKI-LAKI")</f>
        <v>LAKI-LAKI</v>
      </c>
      <c r="K672" s="6" t="str">
        <f>IFERROR(__xludf.DUMMYFUNCTION("""COMPUTED_VALUE"""),"Kec. Wundulako, Kab. Kolaka")</f>
        <v>Kec. Wundulako, Kab. Kolaka</v>
      </c>
      <c r="N672" s="8" t="s">
        <v>19</v>
      </c>
      <c r="R672" s="7" t="str">
        <f>IFERROR(__xludf.DUMMYFUNCTION("""COMPUTED_VALUE"""),"BK")</f>
        <v>BK</v>
      </c>
    </row>
    <row r="673" ht="22.5" customHeight="1">
      <c r="A673" s="6">
        <v>672.0</v>
      </c>
      <c r="B673" s="6" t="str">
        <f>IFERROR(__xludf.DUMMYFUNCTION("""COMPUTED_VALUE"""),"Pemeliharaan Kendaraan Ringan Sistem Injeksi ")</f>
        <v>Pemeliharaan Kendaraan Ringan Sistem Injeksi </v>
      </c>
      <c r="C673" s="6" t="str">
        <f>IFERROR(__xludf.DUMMYFUNCTION("""COMPUTED_VALUE"""),"SMK Negeri 2 Kolaka")</f>
        <v>SMK Negeri 2 Kolaka</v>
      </c>
      <c r="F673" s="6" t="str">
        <f>IFERROR(__xludf.DUMMYFUNCTION("""COMPUTED_VALUE"""),"Sultang")</f>
        <v>Sultang</v>
      </c>
      <c r="G673" s="6" t="str">
        <f>IFERROR(__xludf.DUMMYFUNCTION("""COMPUTED_VALUE"""),"7401042306080001")</f>
        <v>7401042306080001</v>
      </c>
      <c r="J673" s="7" t="str">
        <f>IFERROR(__xludf.DUMMYFUNCTION("""COMPUTED_VALUE"""),"LAKI-LAKI")</f>
        <v>LAKI-LAKI</v>
      </c>
      <c r="K673" s="6" t="str">
        <f>IFERROR(__xludf.DUMMYFUNCTION("""COMPUTED_VALUE"""),"Kec. Kolaka, Kab. Kolaka")</f>
        <v>Kec. Kolaka, Kab. Kolaka</v>
      </c>
      <c r="N673" s="8" t="s">
        <v>19</v>
      </c>
      <c r="R673" s="7" t="str">
        <f>IFERROR(__xludf.DUMMYFUNCTION("""COMPUTED_VALUE"""),"K")</f>
        <v>K</v>
      </c>
    </row>
    <row r="674" ht="22.5" customHeight="1">
      <c r="A674" s="6">
        <v>673.0</v>
      </c>
      <c r="B674" s="6" t="str">
        <f>IFERROR(__xludf.DUMMYFUNCTION("""COMPUTED_VALUE"""),"Pemeliharaan Kendaraan Ringan Sistem Injeksi ")</f>
        <v>Pemeliharaan Kendaraan Ringan Sistem Injeksi </v>
      </c>
      <c r="C674" s="6" t="str">
        <f>IFERROR(__xludf.DUMMYFUNCTION("""COMPUTED_VALUE"""),"SMK Negeri 2 Kolaka")</f>
        <v>SMK Negeri 2 Kolaka</v>
      </c>
      <c r="F674" s="6" t="str">
        <f>IFERROR(__xludf.DUMMYFUNCTION("""COMPUTED_VALUE"""),"VELDHYANCA MANGA PAKIDING")</f>
        <v>VELDHYANCA MANGA PAKIDING</v>
      </c>
      <c r="G674" s="6" t="str">
        <f>IFERROR(__xludf.DUMMYFUNCTION("""COMPUTED_VALUE"""),"7401126109080001")</f>
        <v>7401126109080001</v>
      </c>
      <c r="J674" s="7" t="str">
        <f>IFERROR(__xludf.DUMMYFUNCTION("""COMPUTED_VALUE"""),"PEREMPUAN")</f>
        <v>PEREMPUAN</v>
      </c>
      <c r="K674" s="6" t="str">
        <f>IFERROR(__xludf.DUMMYFUNCTION("""COMPUTED_VALUE"""),"Kec. Baula, Kab. Kolaka")</f>
        <v>Kec. Baula, Kab. Kolaka</v>
      </c>
      <c r="N674" s="8" t="s">
        <v>19</v>
      </c>
      <c r="R674" s="7" t="str">
        <f>IFERROR(__xludf.DUMMYFUNCTION("""COMPUTED_VALUE"""),"BK")</f>
        <v>BK</v>
      </c>
    </row>
    <row r="675" ht="22.5" customHeight="1">
      <c r="A675" s="6">
        <v>674.0</v>
      </c>
      <c r="B675" s="6" t="str">
        <f>IFERROR(__xludf.DUMMYFUNCTION("""COMPUTED_VALUE"""),"Pemeliharaan Kendaraan Ringan Sistem Injeksi ")</f>
        <v>Pemeliharaan Kendaraan Ringan Sistem Injeksi </v>
      </c>
      <c r="C675" s="6" t="str">
        <f>IFERROR(__xludf.DUMMYFUNCTION("""COMPUTED_VALUE"""),"SMK Negeri 2 Kolaka")</f>
        <v>SMK Negeri 2 Kolaka</v>
      </c>
      <c r="F675" s="6" t="str">
        <f>IFERROR(__xludf.DUMMYFUNCTION("""COMPUTED_VALUE"""),"WAHYUDI")</f>
        <v>WAHYUDI</v>
      </c>
      <c r="G675" s="6" t="str">
        <f>IFERROR(__xludf.DUMMYFUNCTION("""COMPUTED_VALUE"""),"7401122705090001")</f>
        <v>7401122705090001</v>
      </c>
      <c r="J675" s="7" t="str">
        <f>IFERROR(__xludf.DUMMYFUNCTION("""COMPUTED_VALUE"""),"LAKI-LAKI")</f>
        <v>LAKI-LAKI</v>
      </c>
      <c r="K675" s="6" t="str">
        <f>IFERROR(__xludf.DUMMYFUNCTION("""COMPUTED_VALUE"""),"Kec. Baula, Kab. Kolaka")</f>
        <v>Kec. Baula, Kab. Kolaka</v>
      </c>
      <c r="N675" s="8" t="s">
        <v>19</v>
      </c>
      <c r="R675" s="7" t="str">
        <f>IFERROR(__xludf.DUMMYFUNCTION("""COMPUTED_VALUE"""),"BK")</f>
        <v>BK</v>
      </c>
    </row>
    <row r="676" ht="22.5" customHeight="1">
      <c r="A676" s="6">
        <v>675.0</v>
      </c>
      <c r="B676" s="6" t="str">
        <f>IFERROR(__xludf.DUMMYFUNCTION("""COMPUTED_VALUE"""),"Pemeliharaan Kendaraan Ringan Sistem Injeksi ")</f>
        <v>Pemeliharaan Kendaraan Ringan Sistem Injeksi </v>
      </c>
      <c r="C676" s="6" t="str">
        <f>IFERROR(__xludf.DUMMYFUNCTION("""COMPUTED_VALUE"""),"SMK Negeri 2 Kolaka")</f>
        <v>SMK Negeri 2 Kolaka</v>
      </c>
      <c r="F676" s="6" t="str">
        <f>IFERROR(__xludf.DUMMYFUNCTION("""COMPUTED_VALUE"""),"WILSON TASIK LINGGI")</f>
        <v>WILSON TASIK LINGGI</v>
      </c>
      <c r="G676" s="6" t="str">
        <f>IFERROR(__xludf.DUMMYFUNCTION("""COMPUTED_VALUE"""),"7401120712080004")</f>
        <v>7401120712080004</v>
      </c>
      <c r="J676" s="7" t="str">
        <f>IFERROR(__xludf.DUMMYFUNCTION("""COMPUTED_VALUE"""),"LAKI-LAKI")</f>
        <v>LAKI-LAKI</v>
      </c>
      <c r="K676" s="6" t="str">
        <f>IFERROR(__xludf.DUMMYFUNCTION("""COMPUTED_VALUE"""),"Puubenua, Kec. Baula, Kab. Kolaka")</f>
        <v>Puubenua, Kec. Baula, Kab. Kolaka</v>
      </c>
      <c r="N676" s="8" t="s">
        <v>19</v>
      </c>
      <c r="R676" s="7" t="str">
        <f>IFERROR(__xludf.DUMMYFUNCTION("""COMPUTED_VALUE"""),"K")</f>
        <v>K</v>
      </c>
    </row>
    <row r="677" ht="22.5" customHeight="1">
      <c r="A677" s="6">
        <v>676.0</v>
      </c>
      <c r="B677" s="6" t="str">
        <f>IFERROR(__xludf.DUMMYFUNCTION("""COMPUTED_VALUE"""),"Pemeliharaan Kendaraan Ringan Sistem Injeksi ")</f>
        <v>Pemeliharaan Kendaraan Ringan Sistem Injeksi </v>
      </c>
      <c r="C677" s="6" t="str">
        <f>IFERROR(__xludf.DUMMYFUNCTION("""COMPUTED_VALUE"""),"SMK Negeri 2 Bombana")</f>
        <v>SMK Negeri 2 Bombana</v>
      </c>
      <c r="F677" s="6" t="str">
        <f>IFERROR(__xludf.DUMMYFUNCTION("""COMPUTED_VALUE"""),"AHMAD ARIL")</f>
        <v>AHMAD ARIL</v>
      </c>
      <c r="G677" s="6" t="str">
        <f>IFERROR(__xludf.DUMMYFUNCTION("""COMPUTED_VALUE"""),"7406042010080001")</f>
        <v>7406042010080001</v>
      </c>
      <c r="J677" s="7" t="str">
        <f>IFERROR(__xludf.DUMMYFUNCTION("""COMPUTED_VALUE"""),"LAKI-LAKI")</f>
        <v>LAKI-LAKI</v>
      </c>
      <c r="K677" s="6" t="str">
        <f>IFERROR(__xludf.DUMMYFUNCTION("""COMPUTED_VALUE"""),"Telabente Jl. Poros Kasipute")</f>
        <v>Telabente Jl. Poros Kasipute</v>
      </c>
      <c r="N677" s="8" t="s">
        <v>19</v>
      </c>
      <c r="R677" s="7" t="str">
        <f>IFERROR(__xludf.DUMMYFUNCTION("""COMPUTED_VALUE"""),"K")</f>
        <v>K</v>
      </c>
    </row>
    <row r="678" ht="22.5" customHeight="1">
      <c r="A678" s="6">
        <v>677.0</v>
      </c>
      <c r="B678" s="6" t="str">
        <f>IFERROR(__xludf.DUMMYFUNCTION("""COMPUTED_VALUE"""),"Pemeliharaan Kendaraan Ringan Sistem Injeksi ")</f>
        <v>Pemeliharaan Kendaraan Ringan Sistem Injeksi </v>
      </c>
      <c r="C678" s="6" t="str">
        <f>IFERROR(__xludf.DUMMYFUNCTION("""COMPUTED_VALUE"""),"SMK Negeri 2 Bombana")</f>
        <v>SMK Negeri 2 Bombana</v>
      </c>
      <c r="F678" s="6" t="str">
        <f>IFERROR(__xludf.DUMMYFUNCTION("""COMPUTED_VALUE"""),"ARTHA PUTRA PRATAMA")</f>
        <v>ARTHA PUTRA PRATAMA</v>
      </c>
      <c r="G678" s="6" t="str">
        <f>IFERROR(__xludf.DUMMYFUNCTION("""COMPUTED_VALUE"""),"7406041303080001")</f>
        <v>7406041303080001</v>
      </c>
      <c r="J678" s="7" t="str">
        <f>IFERROR(__xludf.DUMMYFUNCTION("""COMPUTED_VALUE"""),"LAKI-LAKI")</f>
        <v>LAKI-LAKI</v>
      </c>
      <c r="K678" s="6" t="str">
        <f>IFERROR(__xludf.DUMMYFUNCTION("""COMPUTED_VALUE"""),"Desa Poea, Kec. Rumbia Tengah, Kab. Bombana")</f>
        <v>Desa Poea, Kec. Rumbia Tengah, Kab. Bombana</v>
      </c>
      <c r="N678" s="8" t="s">
        <v>19</v>
      </c>
      <c r="R678" s="7" t="str">
        <f>IFERROR(__xludf.DUMMYFUNCTION("""COMPUTED_VALUE"""),"K")</f>
        <v>K</v>
      </c>
    </row>
    <row r="679" ht="22.5" customHeight="1">
      <c r="A679" s="6">
        <v>678.0</v>
      </c>
      <c r="B679" s="6" t="str">
        <f>IFERROR(__xludf.DUMMYFUNCTION("""COMPUTED_VALUE"""),"Pemeliharaan Kendaraan Ringan Sistem Injeksi ")</f>
        <v>Pemeliharaan Kendaraan Ringan Sistem Injeksi </v>
      </c>
      <c r="C679" s="6" t="str">
        <f>IFERROR(__xludf.DUMMYFUNCTION("""COMPUTED_VALUE"""),"SMK Negeri 2 Bombana")</f>
        <v>SMK Negeri 2 Bombana</v>
      </c>
      <c r="F679" s="6" t="str">
        <f>IFERROR(__xludf.DUMMYFUNCTION("""COMPUTED_VALUE"""),"DEVAN PASCAL PADDA")</f>
        <v>DEVAN PASCAL PADDA</v>
      </c>
      <c r="G679" s="6" t="str">
        <f>IFERROR(__xludf.DUMMYFUNCTION("""COMPUTED_VALUE"""),"7406181209080002")</f>
        <v>7406181209080002</v>
      </c>
      <c r="J679" s="7" t="str">
        <f>IFERROR(__xludf.DUMMYFUNCTION("""COMPUTED_VALUE"""),"LAKI-LAKI")</f>
        <v>LAKI-LAKI</v>
      </c>
      <c r="K679" s="6" t="str">
        <f>IFERROR(__xludf.DUMMYFUNCTION("""COMPUTED_VALUE"""),"Kel. Lantawounua, Kec. Rumbia")</f>
        <v>Kel. Lantawounua, Kec. Rumbia</v>
      </c>
      <c r="N679" s="8" t="s">
        <v>19</v>
      </c>
      <c r="R679" s="7" t="str">
        <f>IFERROR(__xludf.DUMMYFUNCTION("""COMPUTED_VALUE"""),"K")</f>
        <v>K</v>
      </c>
    </row>
    <row r="680" ht="22.5" customHeight="1">
      <c r="A680" s="6">
        <v>679.0</v>
      </c>
      <c r="B680" s="6" t="str">
        <f>IFERROR(__xludf.DUMMYFUNCTION("""COMPUTED_VALUE"""),"Pemeliharaan Kendaraan Ringan Sistem Injeksi ")</f>
        <v>Pemeliharaan Kendaraan Ringan Sistem Injeksi </v>
      </c>
      <c r="C680" s="6" t="str">
        <f>IFERROR(__xludf.DUMMYFUNCTION("""COMPUTED_VALUE"""),"SMK Negeri 2 Bombana")</f>
        <v>SMK Negeri 2 Bombana</v>
      </c>
      <c r="F680" s="6" t="str">
        <f>IFERROR(__xludf.DUMMYFUNCTION("""COMPUTED_VALUE"""),"Ferdi")</f>
        <v>Ferdi</v>
      </c>
      <c r="G680" s="6" t="str">
        <f>IFERROR(__xludf.DUMMYFUNCTION("""COMPUTED_VALUE"""),"7406105312050002")</f>
        <v>7406105312050002</v>
      </c>
      <c r="J680" s="7" t="str">
        <f>IFERROR(__xludf.DUMMYFUNCTION("""COMPUTED_VALUE"""),"PEREMPUAN")</f>
        <v>PEREMPUAN</v>
      </c>
      <c r="K680" s="6" t="str">
        <f>IFERROR(__xludf.DUMMYFUNCTION("""COMPUTED_VALUE"""),"Toburi, Lorong Pasar Lama")</f>
        <v>Toburi, Lorong Pasar Lama</v>
      </c>
      <c r="N680" s="8" t="s">
        <v>19</v>
      </c>
      <c r="R680" s="7" t="str">
        <f>IFERROR(__xludf.DUMMYFUNCTION("""COMPUTED_VALUE"""),"K")</f>
        <v>K</v>
      </c>
    </row>
    <row r="681" ht="22.5" customHeight="1">
      <c r="A681" s="6">
        <v>680.0</v>
      </c>
      <c r="B681" s="6" t="str">
        <f>IFERROR(__xludf.DUMMYFUNCTION("""COMPUTED_VALUE"""),"Pemeliharaan Kendaraan Ringan Sistem Injeksi ")</f>
        <v>Pemeliharaan Kendaraan Ringan Sistem Injeksi </v>
      </c>
      <c r="C681" s="6" t="str">
        <f>IFERROR(__xludf.DUMMYFUNCTION("""COMPUTED_VALUE"""),"SMK Negeri 2 Bombana")</f>
        <v>SMK Negeri 2 Bombana</v>
      </c>
      <c r="F681" s="6" t="str">
        <f>IFERROR(__xludf.DUMMYFUNCTION("""COMPUTED_VALUE"""),"MUH. IJLAL NAJIHUL AMAL NOOR RACHMAN")</f>
        <v>MUH. IJLAL NAJIHUL AMAL NOOR RACHMAN</v>
      </c>
      <c r="G681" s="6" t="str">
        <f>IFERROR(__xludf.DUMMYFUNCTION("""COMPUTED_VALUE"""),"7471030806080001")</f>
        <v>7471030806080001</v>
      </c>
      <c r="J681" s="7" t="str">
        <f>IFERROR(__xludf.DUMMYFUNCTION("""COMPUTED_VALUE"""),"LAKI-LAKI")</f>
        <v>LAKI-LAKI</v>
      </c>
      <c r="K681" s="6" t="str">
        <f>IFERROR(__xludf.DUMMYFUNCTION("""COMPUTED_VALUE"""),"Tompo Batu")</f>
        <v>Tompo Batu</v>
      </c>
      <c r="N681" s="8" t="s">
        <v>19</v>
      </c>
      <c r="R681" s="7" t="str">
        <f>IFERROR(__xludf.DUMMYFUNCTION("""COMPUTED_VALUE"""),"K")</f>
        <v>K</v>
      </c>
    </row>
    <row r="682" ht="22.5" customHeight="1">
      <c r="A682" s="6">
        <v>681.0</v>
      </c>
      <c r="B682" s="6" t="str">
        <f>IFERROR(__xludf.DUMMYFUNCTION("""COMPUTED_VALUE"""),"Pemeliharaan Kendaraan Ringan Sistem Injeksi ")</f>
        <v>Pemeliharaan Kendaraan Ringan Sistem Injeksi </v>
      </c>
      <c r="C682" s="6" t="str">
        <f>IFERROR(__xludf.DUMMYFUNCTION("""COMPUTED_VALUE"""),"SMK Negeri 2 Bombana")</f>
        <v>SMK Negeri 2 Bombana</v>
      </c>
      <c r="F682" s="6" t="str">
        <f>IFERROR(__xludf.DUMMYFUNCTION("""COMPUTED_VALUE"""),"Muh. Alfatir Pratama")</f>
        <v>Muh. Alfatir Pratama</v>
      </c>
      <c r="G682" s="6" t="str">
        <f>IFERROR(__xludf.DUMMYFUNCTION("""COMPUTED_VALUE"""),"7471081606080001")</f>
        <v>7471081606080001</v>
      </c>
      <c r="J682" s="7" t="str">
        <f>IFERROR(__xludf.DUMMYFUNCTION("""COMPUTED_VALUE"""),"LAKI-LAKI")</f>
        <v>LAKI-LAKI</v>
      </c>
      <c r="K682" s="6" t="str">
        <f>IFERROR(__xludf.DUMMYFUNCTION("""COMPUTED_VALUE"""),"Lameroro")</f>
        <v>Lameroro</v>
      </c>
      <c r="N682" s="8" t="s">
        <v>19</v>
      </c>
      <c r="R682" s="7" t="str">
        <f>IFERROR(__xludf.DUMMYFUNCTION("""COMPUTED_VALUE"""),"K")</f>
        <v>K</v>
      </c>
    </row>
    <row r="683" ht="22.5" customHeight="1">
      <c r="A683" s="6">
        <v>682.0</v>
      </c>
      <c r="B683" s="6" t="str">
        <f>IFERROR(__xludf.DUMMYFUNCTION("""COMPUTED_VALUE"""),"Pemeliharaan Kendaraan Ringan Sistem Injeksi ")</f>
        <v>Pemeliharaan Kendaraan Ringan Sistem Injeksi </v>
      </c>
      <c r="C683" s="6" t="str">
        <f>IFERROR(__xludf.DUMMYFUNCTION("""COMPUTED_VALUE"""),"SMK Negeri 2 Bombana")</f>
        <v>SMK Negeri 2 Bombana</v>
      </c>
      <c r="F683" s="6" t="str">
        <f>IFERROR(__xludf.DUMMYFUNCTION("""COMPUTED_VALUE"""),"MUHAMMAD IKHSAN ABDILLAH")</f>
        <v>MUHAMMAD IKHSAN ABDILLAH</v>
      </c>
      <c r="G683" s="6" t="str">
        <f>IFERROR(__xludf.DUMMYFUNCTION("""COMPUTED_VALUE"""),"7406040105120002")</f>
        <v>7406040105120002</v>
      </c>
      <c r="J683" s="7" t="str">
        <f>IFERROR(__xludf.DUMMYFUNCTION("""COMPUTED_VALUE"""),"LAKI-LAKI")</f>
        <v>LAKI-LAKI</v>
      </c>
      <c r="K683" s="6" t="str">
        <f>IFERROR(__xludf.DUMMYFUNCTION("""COMPUTED_VALUE"""),"Wameroro Kecamatan Rumbai")</f>
        <v>Wameroro Kecamatan Rumbai</v>
      </c>
      <c r="N683" s="8" t="s">
        <v>19</v>
      </c>
      <c r="R683" s="7" t="str">
        <f>IFERROR(__xludf.DUMMYFUNCTION("""COMPUTED_VALUE"""),"K")</f>
        <v>K</v>
      </c>
    </row>
    <row r="684" ht="22.5" customHeight="1">
      <c r="A684" s="6">
        <v>683.0</v>
      </c>
      <c r="B684" s="6" t="str">
        <f>IFERROR(__xludf.DUMMYFUNCTION("""COMPUTED_VALUE"""),"Pemeliharaan Kendaraan Ringan Sistem Injeksi ")</f>
        <v>Pemeliharaan Kendaraan Ringan Sistem Injeksi </v>
      </c>
      <c r="C684" s="6" t="str">
        <f>IFERROR(__xludf.DUMMYFUNCTION("""COMPUTED_VALUE"""),"SMK Negeri 2 Bombana")</f>
        <v>SMK Negeri 2 Bombana</v>
      </c>
      <c r="F684" s="6" t="str">
        <f>IFERROR(__xludf.DUMMYFUNCTION("""COMPUTED_VALUE"""),"Nasrul Irwansyah")</f>
        <v>Nasrul Irwansyah</v>
      </c>
      <c r="G684" s="6" t="str">
        <f>IFERROR(__xludf.DUMMYFUNCTION("""COMPUTED_VALUE"""),"7406101408070002")</f>
        <v>7406101408070002</v>
      </c>
      <c r="J684" s="7" t="str">
        <f>IFERROR(__xludf.DUMMYFUNCTION("""COMPUTED_VALUE"""),"LAKI-LAKI")</f>
        <v>LAKI-LAKI</v>
      </c>
      <c r="K684" s="6" t="str">
        <f>IFERROR(__xludf.DUMMYFUNCTION("""COMPUTED_VALUE"""),"Kobu-kobu")</f>
        <v>Kobu-kobu</v>
      </c>
      <c r="N684" s="8" t="s">
        <v>19</v>
      </c>
      <c r="R684" s="7" t="str">
        <f>IFERROR(__xludf.DUMMYFUNCTION("""COMPUTED_VALUE"""),"K")</f>
        <v>K</v>
      </c>
    </row>
    <row r="685" ht="22.5" customHeight="1">
      <c r="A685" s="6">
        <v>684.0</v>
      </c>
      <c r="B685" s="6" t="str">
        <f>IFERROR(__xludf.DUMMYFUNCTION("""COMPUTED_VALUE"""),"Pemeliharaan Kendaraan Ringan Sistem Injeksi ")</f>
        <v>Pemeliharaan Kendaraan Ringan Sistem Injeksi </v>
      </c>
      <c r="C685" s="6" t="str">
        <f>IFERROR(__xludf.DUMMYFUNCTION("""COMPUTED_VALUE"""),"SMK Negeri 2 Bombana")</f>
        <v>SMK Negeri 2 Bombana</v>
      </c>
      <c r="F685" s="6" t="str">
        <f>IFERROR(__xludf.DUMMYFUNCTION("""COMPUTED_VALUE"""),"Nurul Hidayat")</f>
        <v>Nurul Hidayat</v>
      </c>
      <c r="G685" s="6" t="str">
        <f>IFERROR(__xludf.DUMMYFUNCTION("""COMPUTED_VALUE"""),"7406101511000001")</f>
        <v>7406101511000001</v>
      </c>
      <c r="J685" s="7" t="str">
        <f>IFERROR(__xludf.DUMMYFUNCTION("""COMPUTED_VALUE"""),"LAKI-LAKI")</f>
        <v>LAKI-LAKI</v>
      </c>
      <c r="K685" s="6" t="str">
        <f>IFERROR(__xludf.DUMMYFUNCTION("""COMPUTED_VALUE"""),"Kobu-kobu")</f>
        <v>Kobu-kobu</v>
      </c>
      <c r="N685" s="8" t="s">
        <v>19</v>
      </c>
      <c r="R685" s="7" t="str">
        <f>IFERROR(__xludf.DUMMYFUNCTION("""COMPUTED_VALUE"""),"K")</f>
        <v>K</v>
      </c>
    </row>
    <row r="686" ht="22.5" customHeight="1">
      <c r="A686" s="6">
        <v>685.0</v>
      </c>
      <c r="B686" s="6" t="str">
        <f>IFERROR(__xludf.DUMMYFUNCTION("""COMPUTED_VALUE"""),"Pemeliharaan Kendaraan Ringan Sistem Injeksi ")</f>
        <v>Pemeliharaan Kendaraan Ringan Sistem Injeksi </v>
      </c>
      <c r="C686" s="6" t="str">
        <f>IFERROR(__xludf.DUMMYFUNCTION("""COMPUTED_VALUE"""),"SMK Negeri 2 Bombana")</f>
        <v>SMK Negeri 2 Bombana</v>
      </c>
      <c r="F686" s="6" t="str">
        <f>IFERROR(__xludf.DUMMYFUNCTION("""COMPUTED_VALUE"""),"Sardin")</f>
        <v>Sardin</v>
      </c>
      <c r="G686" s="6" t="str">
        <f>IFERROR(__xludf.DUMMYFUNCTION("""COMPUTED_VALUE"""),"7406102407140001")</f>
        <v>7406102407140001</v>
      </c>
      <c r="J686" s="7" t="str">
        <f>IFERROR(__xludf.DUMMYFUNCTION("""COMPUTED_VALUE"""),"LAKI-LAKI")</f>
        <v>LAKI-LAKI</v>
      </c>
      <c r="K686" s="6" t="str">
        <f>IFERROR(__xludf.DUMMYFUNCTION("""COMPUTED_VALUE"""),"Dusun Toburi")</f>
        <v>Dusun Toburi</v>
      </c>
      <c r="N686" s="8" t="s">
        <v>19</v>
      </c>
      <c r="R686" s="7" t="str">
        <f>IFERROR(__xludf.DUMMYFUNCTION("""COMPUTED_VALUE"""),"K")</f>
        <v>K</v>
      </c>
    </row>
    <row r="687" ht="22.5" customHeight="1">
      <c r="A687" s="6">
        <v>686.0</v>
      </c>
      <c r="B687" s="6" t="str">
        <f>IFERROR(__xludf.DUMMYFUNCTION("""COMPUTED_VALUE"""),"Pemeliharaan Kendaraan Ringan Sistem Injeksi ")</f>
        <v>Pemeliharaan Kendaraan Ringan Sistem Injeksi </v>
      </c>
      <c r="C687" s="6" t="str">
        <f>IFERROR(__xludf.DUMMYFUNCTION("""COMPUTED_VALUE"""),"SMK Negeri 2 Bombana")</f>
        <v>SMK Negeri 2 Bombana</v>
      </c>
      <c r="F687" s="6" t="str">
        <f>IFERROR(__xludf.DUMMYFUNCTION("""COMPUTED_VALUE"""),"VHINNO PRIYADMIKHO")</f>
        <v>VHINNO PRIYADMIKHO</v>
      </c>
      <c r="G687" s="6" t="str">
        <f>IFERROR(__xludf.DUMMYFUNCTION("""COMPUTED_VALUE"""),"7404111812080004")</f>
        <v>7404111812080004</v>
      </c>
      <c r="J687" s="7" t="str">
        <f>IFERROR(__xludf.DUMMYFUNCTION("""COMPUTED_VALUE"""),"LAKI-LAKI")</f>
        <v>LAKI-LAKI</v>
      </c>
      <c r="K687" s="6" t="str">
        <f>IFERROR(__xludf.DUMMYFUNCTION("""COMPUTED_VALUE"""),"Dusun Kabungka")</f>
        <v>Dusun Kabungka</v>
      </c>
      <c r="N687" s="8" t="s">
        <v>19</v>
      </c>
      <c r="R687" s="7" t="str">
        <f>IFERROR(__xludf.DUMMYFUNCTION("""COMPUTED_VALUE"""),"K")</f>
        <v>K</v>
      </c>
    </row>
    <row r="688" ht="22.5" customHeight="1">
      <c r="A688" s="6">
        <v>687.0</v>
      </c>
      <c r="B688" s="6" t="str">
        <f>IFERROR(__xludf.DUMMYFUNCTION("""COMPUTED_VALUE"""),"Pemeliharaan Kendaraan Ringan Sistem Injeksi ")</f>
        <v>Pemeliharaan Kendaraan Ringan Sistem Injeksi </v>
      </c>
      <c r="C688" s="6" t="str">
        <f>IFERROR(__xludf.DUMMYFUNCTION("""COMPUTED_VALUE"""),"SMK Negeri 2 Bombana")</f>
        <v>SMK Negeri 2 Bombana</v>
      </c>
      <c r="F688" s="6" t="str">
        <f>IFERROR(__xludf.DUMMYFUNCTION("""COMPUTED_VALUE"""),"IRFAN")</f>
        <v>IRFAN</v>
      </c>
      <c r="G688" s="6" t="str">
        <f>IFERROR(__xludf.DUMMYFUNCTION("""COMPUTED_VALUE"""),"7406080111890003")</f>
        <v>7406080111890003</v>
      </c>
      <c r="J688" s="7" t="str">
        <f>IFERROR(__xludf.DUMMYFUNCTION("""COMPUTED_VALUE"""),"LAKI-LAKI")</f>
        <v>LAKI-LAKI</v>
      </c>
      <c r="K688" s="6" t="str">
        <f>IFERROR(__xludf.DUMMYFUNCTION("""COMPUTED_VALUE"""),"Jl. Poros Poea, Kel. Poea, Kec. Rumbia Tengah")</f>
        <v>Jl. Poros Poea, Kel. Poea, Kec. Rumbia Tengah</v>
      </c>
      <c r="N688" s="8" t="s">
        <v>19</v>
      </c>
      <c r="R688" s="7" t="str">
        <f>IFERROR(__xludf.DUMMYFUNCTION("""COMPUTED_VALUE"""),"K")</f>
        <v>K</v>
      </c>
    </row>
    <row r="689" ht="22.5" customHeight="1">
      <c r="A689" s="6">
        <v>688.0</v>
      </c>
      <c r="B689" s="6" t="str">
        <f>IFERROR(__xludf.DUMMYFUNCTION("""COMPUTED_VALUE"""),"Pemeliharaan Kendaraan Ringan Sistem Injeksi ")</f>
        <v>Pemeliharaan Kendaraan Ringan Sistem Injeksi </v>
      </c>
      <c r="C689" s="6" t="str">
        <f>IFERROR(__xludf.DUMMYFUNCTION("""COMPUTED_VALUE"""),"SMK Negeri 2 Bombana")</f>
        <v>SMK Negeri 2 Bombana</v>
      </c>
      <c r="F689" s="6" t="str">
        <f>IFERROR(__xludf.DUMMYFUNCTION("""COMPUTED_VALUE"""),"NUR ALIM")</f>
        <v>NUR ALIM</v>
      </c>
      <c r="G689" s="6" t="str">
        <f>IFERROR(__xludf.DUMMYFUNCTION("""COMPUTED_VALUE"""),"7406092310800001")</f>
        <v>7406092310800001</v>
      </c>
      <c r="J689" s="7" t="str">
        <f>IFERROR(__xludf.DUMMYFUNCTION("""COMPUTED_VALUE"""),"LAKI-LAKI")</f>
        <v>LAKI-LAKI</v>
      </c>
      <c r="K689" s="6" t="str">
        <f>IFERROR(__xludf.DUMMYFUNCTION("""COMPUTED_VALUE"""),"Kel. Aneka Marga")</f>
        <v>Kel. Aneka Marga</v>
      </c>
      <c r="N689" s="8" t="s">
        <v>19</v>
      </c>
      <c r="R689" s="7" t="str">
        <f>IFERROR(__xludf.DUMMYFUNCTION("""COMPUTED_VALUE"""),"K")</f>
        <v>K</v>
      </c>
    </row>
    <row r="690" ht="22.5" customHeight="1">
      <c r="A690" s="6">
        <v>689.0</v>
      </c>
      <c r="B690" s="6" t="str">
        <f>IFERROR(__xludf.DUMMYFUNCTION("""COMPUTED_VALUE"""),"Pengelola Administrasi Perkantoran")</f>
        <v>Pengelola Administrasi Perkantoran</v>
      </c>
      <c r="C690" s="6" t="str">
        <f>IFERROR(__xludf.DUMMYFUNCTION("""COMPUTED_VALUE"""),"SMK Negeri 2 Bombana")</f>
        <v>SMK Negeri 2 Bombana</v>
      </c>
      <c r="F690" s="6" t="str">
        <f>IFERROR(__xludf.DUMMYFUNCTION("""COMPUTED_VALUE"""),"AKMAL")</f>
        <v>AKMAL</v>
      </c>
      <c r="G690" s="6" t="str">
        <f>IFERROR(__xludf.DUMMYFUNCTION("""COMPUTED_VALUE"""),"7406181302060001")</f>
        <v>7406181302060001</v>
      </c>
      <c r="J690" s="7" t="str">
        <f>IFERROR(__xludf.DUMMYFUNCTION("""COMPUTED_VALUE"""),"LAKI-LAKI")</f>
        <v>LAKI-LAKI</v>
      </c>
      <c r="K690" s="6" t="str">
        <f>IFERROR(__xludf.DUMMYFUNCTION("""COMPUTED_VALUE"""),"Tapuahi, Dusun 3")</f>
        <v>Tapuahi, Dusun 3</v>
      </c>
      <c r="N690" s="8" t="s">
        <v>19</v>
      </c>
      <c r="R690" s="7" t="str">
        <f>IFERROR(__xludf.DUMMYFUNCTION("""COMPUTED_VALUE"""),"K")</f>
        <v>K</v>
      </c>
    </row>
    <row r="691" ht="22.5" customHeight="1">
      <c r="A691" s="6">
        <v>690.0</v>
      </c>
      <c r="B691" s="6" t="str">
        <f>IFERROR(__xludf.DUMMYFUNCTION("""COMPUTED_VALUE"""),"Pengelola Administrasi Perkantoran")</f>
        <v>Pengelola Administrasi Perkantoran</v>
      </c>
      <c r="C691" s="6" t="str">
        <f>IFERROR(__xludf.DUMMYFUNCTION("""COMPUTED_VALUE"""),"SMK Negeri 2 Bombana")</f>
        <v>SMK Negeri 2 Bombana</v>
      </c>
      <c r="F691" s="6" t="str">
        <f>IFERROR(__xludf.DUMMYFUNCTION("""COMPUTED_VALUE"""),"ANDI SALSA AL FADILLAH")</f>
        <v>ANDI SALSA AL FADILLAH</v>
      </c>
      <c r="G691" s="6" t="str">
        <f>IFERROR(__xludf.DUMMYFUNCTION("""COMPUTED_VALUE"""),"7406186001090001")</f>
        <v>7406186001090001</v>
      </c>
      <c r="J691" s="7" t="str">
        <f>IFERROR(__xludf.DUMMYFUNCTION("""COMPUTED_VALUE"""),"PEREMPUAN")</f>
        <v>PEREMPUAN</v>
      </c>
      <c r="K691" s="6" t="str">
        <f>IFERROR(__xludf.DUMMYFUNCTION("""COMPUTED_VALUE"""),"Tapuahi, Kec. Rumbia Tengah")</f>
        <v>Tapuahi, Kec. Rumbia Tengah</v>
      </c>
      <c r="N691" s="8" t="s">
        <v>19</v>
      </c>
      <c r="R691" s="7" t="str">
        <f>IFERROR(__xludf.DUMMYFUNCTION("""COMPUTED_VALUE"""),"K")</f>
        <v>K</v>
      </c>
    </row>
    <row r="692" ht="22.5" customHeight="1">
      <c r="A692" s="6">
        <v>691.0</v>
      </c>
      <c r="B692" s="6" t="str">
        <f>IFERROR(__xludf.DUMMYFUNCTION("""COMPUTED_VALUE"""),"Pengelola Administrasi Perkantoran")</f>
        <v>Pengelola Administrasi Perkantoran</v>
      </c>
      <c r="C692" s="6" t="str">
        <f>IFERROR(__xludf.DUMMYFUNCTION("""COMPUTED_VALUE"""),"SMK Negeri 2 Bombana")</f>
        <v>SMK Negeri 2 Bombana</v>
      </c>
      <c r="F692" s="6" t="str">
        <f>IFERROR(__xludf.DUMMYFUNCTION("""COMPUTED_VALUE"""),"DILLA SISWANTI")</f>
        <v>DILLA SISWANTI</v>
      </c>
      <c r="G692" s="6" t="str">
        <f>IFERROR(__xludf.DUMMYFUNCTION("""COMPUTED_VALUE"""),"9271014607080002")</f>
        <v>9271014607080002</v>
      </c>
      <c r="J692" s="7" t="str">
        <f>IFERROR(__xludf.DUMMYFUNCTION("""COMPUTED_VALUE"""),"PEREMPUAN")</f>
        <v>PEREMPUAN</v>
      </c>
      <c r="K692" s="6" t="str">
        <f>IFERROR(__xludf.DUMMYFUNCTION("""COMPUTED_VALUE"""),"Desa Tapuhahi")</f>
        <v>Desa Tapuhahi</v>
      </c>
      <c r="N692" s="8" t="s">
        <v>19</v>
      </c>
      <c r="R692" s="7" t="str">
        <f>IFERROR(__xludf.DUMMYFUNCTION("""COMPUTED_VALUE"""),"K")</f>
        <v>K</v>
      </c>
    </row>
    <row r="693" ht="22.5" customHeight="1">
      <c r="A693" s="6">
        <v>692.0</v>
      </c>
      <c r="B693" s="6" t="str">
        <f>IFERROR(__xludf.DUMMYFUNCTION("""COMPUTED_VALUE"""),"Pengelola Administrasi Perkantoran")</f>
        <v>Pengelola Administrasi Perkantoran</v>
      </c>
      <c r="C693" s="6" t="str">
        <f>IFERROR(__xludf.DUMMYFUNCTION("""COMPUTED_VALUE"""),"SMK Negeri 2 Bombana")</f>
        <v>SMK Negeri 2 Bombana</v>
      </c>
      <c r="F693" s="6" t="str">
        <f>IFERROR(__xludf.DUMMYFUNCTION("""COMPUTED_VALUE"""),"ELISANDRA")</f>
        <v>ELISANDRA</v>
      </c>
      <c r="G693" s="6" t="str">
        <f>IFERROR(__xludf.DUMMYFUNCTION("""COMPUTED_VALUE"""),"7406045903070001")</f>
        <v>7406045903070001</v>
      </c>
      <c r="J693" s="7" t="str">
        <f>IFERROR(__xludf.DUMMYFUNCTION("""COMPUTED_VALUE"""),"PEREMPUAN")</f>
        <v>PEREMPUAN</v>
      </c>
      <c r="K693" s="6" t="str">
        <f>IFERROR(__xludf.DUMMYFUNCTION("""COMPUTED_VALUE"""),"Kasipute, Kec. Rumbia")</f>
        <v>Kasipute, Kec. Rumbia</v>
      </c>
      <c r="N693" s="8" t="s">
        <v>19</v>
      </c>
      <c r="R693" s="7" t="str">
        <f>IFERROR(__xludf.DUMMYFUNCTION("""COMPUTED_VALUE"""),"K")</f>
        <v>K</v>
      </c>
    </row>
    <row r="694" ht="22.5" customHeight="1">
      <c r="A694" s="6">
        <v>693.0</v>
      </c>
      <c r="B694" s="6" t="str">
        <f>IFERROR(__xludf.DUMMYFUNCTION("""COMPUTED_VALUE"""),"Pengelola Administrasi Perkantoran")</f>
        <v>Pengelola Administrasi Perkantoran</v>
      </c>
      <c r="C694" s="6" t="str">
        <f>IFERROR(__xludf.DUMMYFUNCTION("""COMPUTED_VALUE"""),"SMK Negeri 2 Bombana")</f>
        <v>SMK Negeri 2 Bombana</v>
      </c>
      <c r="F694" s="6" t="str">
        <f>IFERROR(__xludf.DUMMYFUNCTION("""COMPUTED_VALUE"""),"MUHAMAD ANDI RAYHAN RAHMAN")</f>
        <v>MUHAMAD ANDI RAYHAN RAHMAN</v>
      </c>
      <c r="G694" s="6" t="str">
        <f>IFERROR(__xludf.DUMMYFUNCTION("""COMPUTED_VALUE"""),"7406041308080001")</f>
        <v>7406041308080001</v>
      </c>
      <c r="J694" s="7" t="str">
        <f>IFERROR(__xludf.DUMMYFUNCTION("""COMPUTED_VALUE"""),"LAKI-LAKI")</f>
        <v>LAKI-LAKI</v>
      </c>
      <c r="K694" s="6" t="str">
        <f>IFERROR(__xludf.DUMMYFUNCTION("""COMPUTED_VALUE"""),"Kasipute, Kec. Rumbia")</f>
        <v>Kasipute, Kec. Rumbia</v>
      </c>
      <c r="N694" s="8" t="s">
        <v>19</v>
      </c>
      <c r="R694" s="7" t="str">
        <f>IFERROR(__xludf.DUMMYFUNCTION("""COMPUTED_VALUE"""),"K")</f>
        <v>K</v>
      </c>
    </row>
    <row r="695" ht="22.5" customHeight="1">
      <c r="A695" s="6">
        <v>694.0</v>
      </c>
      <c r="B695" s="6" t="str">
        <f>IFERROR(__xludf.DUMMYFUNCTION("""COMPUTED_VALUE"""),"Pengelola Administrasi Perkantoran")</f>
        <v>Pengelola Administrasi Perkantoran</v>
      </c>
      <c r="C695" s="6" t="str">
        <f>IFERROR(__xludf.DUMMYFUNCTION("""COMPUTED_VALUE"""),"SMK Negeri 2 Bombana")</f>
        <v>SMK Negeri 2 Bombana</v>
      </c>
      <c r="F695" s="6" t="str">
        <f>IFERROR(__xludf.DUMMYFUNCTION("""COMPUTED_VALUE"""),"RAFLI")</f>
        <v>RAFLI</v>
      </c>
      <c r="G695" s="6" t="str">
        <f>IFERROR(__xludf.DUMMYFUNCTION("""COMPUTED_VALUE"""),"7406181005080001")</f>
        <v>7406181005080001</v>
      </c>
      <c r="J695" s="7" t="str">
        <f>IFERROR(__xludf.DUMMYFUNCTION("""COMPUTED_VALUE"""),"LAKI-LAKI")</f>
        <v>LAKI-LAKI</v>
      </c>
      <c r="K695" s="6" t="str">
        <f>IFERROR(__xludf.DUMMYFUNCTION("""COMPUTED_VALUE"""),"-")</f>
        <v>-</v>
      </c>
      <c r="N695" s="8" t="s">
        <v>19</v>
      </c>
      <c r="R695" s="7" t="str">
        <f>IFERROR(__xludf.DUMMYFUNCTION("""COMPUTED_VALUE"""),"K")</f>
        <v>K</v>
      </c>
    </row>
    <row r="696" ht="22.5" customHeight="1">
      <c r="A696" s="6">
        <v>695.0</v>
      </c>
      <c r="B696" s="6" t="str">
        <f>IFERROR(__xludf.DUMMYFUNCTION("""COMPUTED_VALUE"""),"Pengelola Administrasi Perkantoran")</f>
        <v>Pengelola Administrasi Perkantoran</v>
      </c>
      <c r="C696" s="6" t="str">
        <f>IFERROR(__xludf.DUMMYFUNCTION("""COMPUTED_VALUE"""),"SMK Negeri 2 Bombana")</f>
        <v>SMK Negeri 2 Bombana</v>
      </c>
      <c r="F696" s="6" t="str">
        <f>IFERROR(__xludf.DUMMYFUNCTION("""COMPUTED_VALUE"""),"RISKI FAKAUBUN")</f>
        <v>RISKI FAKAUBUN</v>
      </c>
      <c r="G696" s="6" t="str">
        <f>IFERROR(__xludf.DUMMYFUNCTION("""COMPUTED_VALUE"""),"7406181003080002")</f>
        <v>7406181003080002</v>
      </c>
      <c r="J696" s="7" t="str">
        <f>IFERROR(__xludf.DUMMYFUNCTION("""COMPUTED_VALUE"""),"LAKI-LAKI")</f>
        <v>LAKI-LAKI</v>
      </c>
      <c r="K696" s="6" t="str">
        <f>IFERROR(__xludf.DUMMYFUNCTION("""COMPUTED_VALUE"""),"Rumbia Tengah, Tapuahi, Dusun II, Lorong Pace")</f>
        <v>Rumbia Tengah, Tapuahi, Dusun II, Lorong Pace</v>
      </c>
      <c r="N696" s="8" t="s">
        <v>19</v>
      </c>
      <c r="R696" s="7" t="str">
        <f>IFERROR(__xludf.DUMMYFUNCTION("""COMPUTED_VALUE"""),"K")</f>
        <v>K</v>
      </c>
    </row>
    <row r="697" ht="22.5" customHeight="1">
      <c r="A697" s="6">
        <v>696.0</v>
      </c>
      <c r="B697" s="6" t="str">
        <f>IFERROR(__xludf.DUMMYFUNCTION("""COMPUTED_VALUE"""),"Pengelola Administrasi Perkantoran")</f>
        <v>Pengelola Administrasi Perkantoran</v>
      </c>
      <c r="C697" s="6" t="str">
        <f>IFERROR(__xludf.DUMMYFUNCTION("""COMPUTED_VALUE"""),"SMK Negeri 2 Bombana")</f>
        <v>SMK Negeri 2 Bombana</v>
      </c>
      <c r="F697" s="6" t="str">
        <f>IFERROR(__xludf.DUMMYFUNCTION("""COMPUTED_VALUE"""),"TIWI KURNIATI")</f>
        <v>TIWI KURNIATI</v>
      </c>
      <c r="G697" s="6" t="str">
        <f>IFERROR(__xludf.DUMMYFUNCTION("""COMPUTED_VALUE"""),"7406045402080001")</f>
        <v>7406045402080001</v>
      </c>
      <c r="J697" s="7" t="str">
        <f>IFERROR(__xludf.DUMMYFUNCTION("""COMPUTED_VALUE"""),"PEREMPUAN")</f>
        <v>PEREMPUAN</v>
      </c>
      <c r="K697" s="6" t="str">
        <f>IFERROR(__xludf.DUMMYFUNCTION("""COMPUTED_VALUE"""),"Kasipute, Kec. Rumbia")</f>
        <v>Kasipute, Kec. Rumbia</v>
      </c>
      <c r="N697" s="8" t="s">
        <v>19</v>
      </c>
      <c r="R697" s="7" t="str">
        <f>IFERROR(__xludf.DUMMYFUNCTION("""COMPUTED_VALUE"""),"K")</f>
        <v>K</v>
      </c>
    </row>
    <row r="698" ht="22.5" customHeight="1">
      <c r="A698" s="6">
        <v>697.0</v>
      </c>
      <c r="B698" s="6" t="str">
        <f>IFERROR(__xludf.DUMMYFUNCTION("""COMPUTED_VALUE"""),"Pengelola Administrasi Perkantoran")</f>
        <v>Pengelola Administrasi Perkantoran</v>
      </c>
      <c r="C698" s="6" t="str">
        <f>IFERROR(__xludf.DUMMYFUNCTION("""COMPUTED_VALUE"""),"SMK Negeri 2 Bombana")</f>
        <v>SMK Negeri 2 Bombana</v>
      </c>
      <c r="F698" s="6" t="str">
        <f>IFERROR(__xludf.DUMMYFUNCTION("""COMPUTED_VALUE"""),"WANDA")</f>
        <v>WANDA</v>
      </c>
      <c r="G698" s="6" t="str">
        <f>IFERROR(__xludf.DUMMYFUNCTION("""COMPUTED_VALUE"""),"7471065807090002")</f>
        <v>7471065807090002</v>
      </c>
      <c r="J698" s="7" t="str">
        <f>IFERROR(__xludf.DUMMYFUNCTION("""COMPUTED_VALUE"""),"PEREMPUAN")</f>
        <v>PEREMPUAN</v>
      </c>
      <c r="K698" s="6" t="str">
        <f>IFERROR(__xludf.DUMMYFUNCTION("""COMPUTED_VALUE"""),"Liano")</f>
        <v>Liano</v>
      </c>
      <c r="N698" s="8" t="s">
        <v>19</v>
      </c>
      <c r="R698" s="7" t="str">
        <f>IFERROR(__xludf.DUMMYFUNCTION("""COMPUTED_VALUE"""),"K")</f>
        <v>K</v>
      </c>
    </row>
    <row r="699" ht="22.5" customHeight="1">
      <c r="A699" s="6">
        <v>698.0</v>
      </c>
      <c r="B699" s="6" t="str">
        <f>IFERROR(__xludf.DUMMYFUNCTION("""COMPUTED_VALUE"""),"Pengelola Administrasi Perkantoran")</f>
        <v>Pengelola Administrasi Perkantoran</v>
      </c>
      <c r="C699" s="6" t="str">
        <f>IFERROR(__xludf.DUMMYFUNCTION("""COMPUTED_VALUE"""),"SMK Negeri 2 Bombana")</f>
        <v>SMK Negeri 2 Bombana</v>
      </c>
      <c r="F699" s="6" t="str">
        <f>IFERROR(__xludf.DUMMYFUNCTION("""COMPUTED_VALUE"""),"HASNIATI")</f>
        <v>HASNIATI</v>
      </c>
      <c r="G699" s="6" t="str">
        <f>IFERROR(__xludf.DUMMYFUNCTION("""COMPUTED_VALUE"""),"7471084910940001")</f>
        <v>7471084910940001</v>
      </c>
      <c r="J699" s="7" t="str">
        <f>IFERROR(__xludf.DUMMYFUNCTION("""COMPUTED_VALUE"""),"PEREMPUAN")</f>
        <v>PEREMPUAN</v>
      </c>
      <c r="K699" s="6" t="str">
        <f>IFERROR(__xludf.DUMMYFUNCTION("""COMPUTED_VALUE"""),"Desa Mawar, Kec. Mataoleo, Kab. Bombana")</f>
        <v>Desa Mawar, Kec. Mataoleo, Kab. Bombana</v>
      </c>
      <c r="N699" s="8" t="s">
        <v>19</v>
      </c>
      <c r="R699" s="7" t="str">
        <f>IFERROR(__xludf.DUMMYFUNCTION("""COMPUTED_VALUE"""),"K")</f>
        <v>K</v>
      </c>
    </row>
    <row r="700" ht="22.5" customHeight="1">
      <c r="A700" s="6">
        <v>699.0</v>
      </c>
      <c r="B700" s="6" t="str">
        <f>IFERROR(__xludf.DUMMYFUNCTION("""COMPUTED_VALUE"""),"Pengelola Administrasi Perkantoran")</f>
        <v>Pengelola Administrasi Perkantoran</v>
      </c>
      <c r="C700" s="6" t="str">
        <f>IFERROR(__xludf.DUMMYFUNCTION("""COMPUTED_VALUE"""),"SMK Negeri 2 Bombana")</f>
        <v>SMK Negeri 2 Bombana</v>
      </c>
      <c r="F700" s="6" t="str">
        <f>IFERROR(__xludf.DUMMYFUNCTION("""COMPUTED_VALUE"""),"NASRAYANTI")</f>
        <v>NASRAYANTI</v>
      </c>
      <c r="G700" s="6" t="str">
        <f>IFERROR(__xludf.DUMMYFUNCTION("""COMPUTED_VALUE"""),"7406186412920002")</f>
        <v>7406186412920002</v>
      </c>
      <c r="J700" s="7" t="str">
        <f>IFERROR(__xludf.DUMMYFUNCTION("""COMPUTED_VALUE"""),"PEREMPUAN")</f>
        <v>PEREMPUAN</v>
      </c>
      <c r="K700" s="6" t="str">
        <f>IFERROR(__xludf.DUMMYFUNCTION("""COMPUTED_VALUE"""),"-")</f>
        <v>-</v>
      </c>
      <c r="N700" s="8" t="s">
        <v>19</v>
      </c>
      <c r="R700" s="7" t="str">
        <f>IFERROR(__xludf.DUMMYFUNCTION("""COMPUTED_VALUE"""),"K")</f>
        <v>K</v>
      </c>
    </row>
    <row r="701" ht="22.5" customHeight="1">
      <c r="A701" s="6">
        <v>700.0</v>
      </c>
      <c r="B701" s="6" t="str">
        <f>IFERROR(__xludf.DUMMYFUNCTION("""COMPUTED_VALUE"""),"Pengelola Administrasi Perkantoran")</f>
        <v>Pengelola Administrasi Perkantoran</v>
      </c>
      <c r="C701" s="6" t="str">
        <f>IFERROR(__xludf.DUMMYFUNCTION("""COMPUTED_VALUE"""),"SMK Negeri 2 Bombana")</f>
        <v>SMK Negeri 2 Bombana</v>
      </c>
      <c r="F701" s="6" t="str">
        <f>IFERROR(__xludf.DUMMYFUNCTION("""COMPUTED_VALUE"""),"RISTIAWATI")</f>
        <v>RISTIAWATI</v>
      </c>
      <c r="G701" s="6" t="str">
        <f>IFERROR(__xludf.DUMMYFUNCTION("""COMPUTED_VALUE"""),"7471046912880001")</f>
        <v>7471046912880001</v>
      </c>
      <c r="J701" s="7" t="str">
        <f>IFERROR(__xludf.DUMMYFUNCTION("""COMPUTED_VALUE"""),"PEREMPUAN")</f>
        <v>PEREMPUAN</v>
      </c>
      <c r="K701" s="6" t="str">
        <f>IFERROR(__xludf.DUMMYFUNCTION("""COMPUTED_VALUE"""),"-")</f>
        <v>-</v>
      </c>
      <c r="N701" s="8" t="s">
        <v>19</v>
      </c>
      <c r="R701" s="7" t="str">
        <f>IFERROR(__xludf.DUMMYFUNCTION("""COMPUTED_VALUE"""),"K")</f>
        <v>K</v>
      </c>
    </row>
    <row r="702" ht="22.5" customHeight="1">
      <c r="A702" s="6">
        <v>701.0</v>
      </c>
      <c r="B702" s="6" t="str">
        <f>IFERROR(__xludf.DUMMYFUNCTION("""COMPUTED_VALUE"""),"Pemeliharaan Kendaraan Ringan Sistem Injeksi ")</f>
        <v>Pemeliharaan Kendaraan Ringan Sistem Injeksi </v>
      </c>
      <c r="C702" s="6" t="str">
        <f>IFERROR(__xludf.DUMMYFUNCTION("""COMPUTED_VALUE"""),"SMK Negeri 1 Bombana")</f>
        <v>SMK Negeri 1 Bombana</v>
      </c>
      <c r="F702" s="6" t="str">
        <f>IFERROR(__xludf.DUMMYFUNCTION("""COMPUTED_VALUE"""),"AGUNG SETIAWAN")</f>
        <v>AGUNG SETIAWAN</v>
      </c>
      <c r="G702" s="13" t="str">
        <f>IFERROR(__xludf.DUMMYFUNCTION("""COMPUTED_VALUE"""),"7406091909070001")</f>
        <v>7406091909070001</v>
      </c>
      <c r="J702" s="7" t="str">
        <f>IFERROR(__xludf.DUMMYFUNCTION("""COMPUTED_VALUE"""),"LAKI-LAKI")</f>
        <v>LAKI-LAKI</v>
      </c>
      <c r="K702" s="6" t="str">
        <f>IFERROR(__xludf.DUMMYFUNCTION("""COMPUTED_VALUE"""),"Aneka Marga")</f>
        <v>Aneka Marga</v>
      </c>
      <c r="N702" s="8" t="s">
        <v>19</v>
      </c>
      <c r="R702" s="7" t="str">
        <f>IFERROR(__xludf.DUMMYFUNCTION("""COMPUTED_VALUE"""),"K")</f>
        <v>K</v>
      </c>
    </row>
    <row r="703" ht="22.5" customHeight="1">
      <c r="A703" s="6">
        <v>702.0</v>
      </c>
      <c r="B703" s="6" t="str">
        <f>IFERROR(__xludf.DUMMYFUNCTION("""COMPUTED_VALUE"""),"Pemeliharaan Kendaraan Ringan Sistem Injeksi ")</f>
        <v>Pemeliharaan Kendaraan Ringan Sistem Injeksi </v>
      </c>
      <c r="C703" s="6" t="str">
        <f>IFERROR(__xludf.DUMMYFUNCTION("""COMPUTED_VALUE"""),"SMK Negeri 1 Bombana")</f>
        <v>SMK Negeri 1 Bombana</v>
      </c>
      <c r="F703" s="6" t="str">
        <f>IFERROR(__xludf.DUMMYFUNCTION("""COMPUTED_VALUE"""),"AHMAD RIAN REFENDI")</f>
        <v>AHMAD RIAN REFENDI</v>
      </c>
      <c r="G703" s="13" t="str">
        <f>IFERROR(__xludf.DUMMYFUNCTION("""COMPUTED_VALUE"""),"7406211012080001")</f>
        <v>7406211012080001</v>
      </c>
      <c r="J703" s="7" t="str">
        <f>IFERROR(__xludf.DUMMYFUNCTION("""COMPUTED_VALUE"""),"LAKI-LAKI")</f>
        <v>LAKI-LAKI</v>
      </c>
      <c r="K703" s="6" t="str">
        <f>IFERROR(__xludf.DUMMYFUNCTION("""COMPUTED_VALUE"""),"Desa Lembakasi")</f>
        <v>Desa Lembakasi</v>
      </c>
      <c r="N703" s="8" t="s">
        <v>19</v>
      </c>
      <c r="R703" s="7" t="str">
        <f>IFERROR(__xludf.DUMMYFUNCTION("""COMPUTED_VALUE"""),"K")</f>
        <v>K</v>
      </c>
    </row>
    <row r="704" ht="22.5" customHeight="1">
      <c r="A704" s="6">
        <v>703.0</v>
      </c>
      <c r="B704" s="6" t="str">
        <f>IFERROR(__xludf.DUMMYFUNCTION("""COMPUTED_VALUE"""),"Pemeliharaan Kendaraan Ringan Sistem Injeksi ")</f>
        <v>Pemeliharaan Kendaraan Ringan Sistem Injeksi </v>
      </c>
      <c r="C704" s="6" t="str">
        <f>IFERROR(__xludf.DUMMYFUNCTION("""COMPUTED_VALUE"""),"SMK Negeri 1 Bombana")</f>
        <v>SMK Negeri 1 Bombana</v>
      </c>
      <c r="F704" s="6" t="str">
        <f>IFERROR(__xludf.DUMMYFUNCTION("""COMPUTED_VALUE"""),"AKBAR ILAHI")</f>
        <v>AKBAR ILAHI</v>
      </c>
      <c r="G704" s="13" t="str">
        <f>IFERROR(__xludf.DUMMYFUNCTION("""COMPUTED_VALUE"""),"7406211808060002")</f>
        <v>7406211808060002</v>
      </c>
      <c r="J704" s="7" t="str">
        <f>IFERROR(__xludf.DUMMYFUNCTION("""COMPUTED_VALUE"""),"LAKI-LAKI")</f>
        <v>LAKI-LAKI</v>
      </c>
      <c r="K704" s="6" t="str">
        <f>IFERROR(__xludf.DUMMYFUNCTION("""COMPUTED_VALUE"""),"Dusun II Swakarsa")</f>
        <v>Dusun II Swakarsa</v>
      </c>
      <c r="N704" s="8" t="s">
        <v>19</v>
      </c>
      <c r="R704" s="7" t="str">
        <f>IFERROR(__xludf.DUMMYFUNCTION("""COMPUTED_VALUE"""),"K")</f>
        <v>K</v>
      </c>
    </row>
    <row r="705" ht="22.5" customHeight="1">
      <c r="A705" s="6">
        <v>704.0</v>
      </c>
      <c r="B705" s="6" t="str">
        <f>IFERROR(__xludf.DUMMYFUNCTION("""COMPUTED_VALUE"""),"Pemeliharaan Kendaraan Ringan Sistem Injeksi ")</f>
        <v>Pemeliharaan Kendaraan Ringan Sistem Injeksi </v>
      </c>
      <c r="C705" s="6" t="str">
        <f>IFERROR(__xludf.DUMMYFUNCTION("""COMPUTED_VALUE"""),"SMK Negeri 1 Bombana")</f>
        <v>SMK Negeri 1 Bombana</v>
      </c>
      <c r="F705" s="6" t="str">
        <f>IFERROR(__xludf.DUMMYFUNCTION("""COMPUTED_VALUE"""),"ANDIKA")</f>
        <v>ANDIKA</v>
      </c>
      <c r="G705" s="13" t="str">
        <f>IFERROR(__xludf.DUMMYFUNCTION("""COMPUTED_VALUE"""),"7406210407080001")</f>
        <v>7406210407080001</v>
      </c>
      <c r="J705" s="7" t="str">
        <f>IFERROR(__xludf.DUMMYFUNCTION("""COMPUTED_VALUE"""),"LAKI-LAKI")</f>
        <v>LAKI-LAKI</v>
      </c>
      <c r="K705" s="6" t="str">
        <f>IFERROR(__xludf.DUMMYFUNCTION("""COMPUTED_VALUE"""),"Desa Kalaero Dusun I Harapan Jaya")</f>
        <v>Desa Kalaero Dusun I Harapan Jaya</v>
      </c>
      <c r="N705" s="8" t="s">
        <v>19</v>
      </c>
      <c r="R705" s="7" t="str">
        <f>IFERROR(__xludf.DUMMYFUNCTION("""COMPUTED_VALUE"""),"K")</f>
        <v>K</v>
      </c>
    </row>
    <row r="706" ht="22.5" customHeight="1">
      <c r="A706" s="6">
        <v>705.0</v>
      </c>
      <c r="B706" s="6" t="str">
        <f>IFERROR(__xludf.DUMMYFUNCTION("""COMPUTED_VALUE"""),"Pemeliharaan Kendaraan Ringan Sistem Injeksi ")</f>
        <v>Pemeliharaan Kendaraan Ringan Sistem Injeksi </v>
      </c>
      <c r="C706" s="6" t="str">
        <f>IFERROR(__xludf.DUMMYFUNCTION("""COMPUTED_VALUE"""),"SMK Negeri 1 Bombana")</f>
        <v>SMK Negeri 1 Bombana</v>
      </c>
      <c r="F706" s="6" t="str">
        <f>IFERROR(__xludf.DUMMYFUNCTION("""COMPUTED_VALUE"""),"ANUGRAH ADE PRIADNAN")</f>
        <v>ANUGRAH ADE PRIADNAN</v>
      </c>
      <c r="G706" s="13" t="str">
        <f>IFERROR(__xludf.DUMMYFUNCTION("""COMPUTED_VALUE"""),"7406090503080001")</f>
        <v>7406090503080001</v>
      </c>
      <c r="J706" s="7" t="str">
        <f>IFERROR(__xludf.DUMMYFUNCTION("""COMPUTED_VALUE"""),"LAKI-LAKI")</f>
        <v>LAKI-LAKI</v>
      </c>
      <c r="K706" s="6" t="str">
        <f>IFERROR(__xludf.DUMMYFUNCTION("""COMPUTED_VALUE"""),"Aneka Marga, RT 6, RW 3, Jalan Bangau")</f>
        <v>Aneka Marga, RT 6, RW 3, Jalan Bangau</v>
      </c>
      <c r="N706" s="8" t="s">
        <v>19</v>
      </c>
      <c r="R706" s="7" t="str">
        <f>IFERROR(__xludf.DUMMYFUNCTION("""COMPUTED_VALUE"""),"K")</f>
        <v>K</v>
      </c>
    </row>
    <row r="707" ht="22.5" customHeight="1">
      <c r="A707" s="6">
        <v>706.0</v>
      </c>
      <c r="B707" s="6" t="str">
        <f>IFERROR(__xludf.DUMMYFUNCTION("""COMPUTED_VALUE"""),"Pemeliharaan Kendaraan Ringan Sistem Injeksi ")</f>
        <v>Pemeliharaan Kendaraan Ringan Sistem Injeksi </v>
      </c>
      <c r="C707" s="6" t="str">
        <f>IFERROR(__xludf.DUMMYFUNCTION("""COMPUTED_VALUE"""),"SMK Negeri 1 Bombana")</f>
        <v>SMK Negeri 1 Bombana</v>
      </c>
      <c r="F707" s="6" t="str">
        <f>IFERROR(__xludf.DUMMYFUNCTION("""COMPUTED_VALUE"""),"FAREL")</f>
        <v>FAREL</v>
      </c>
      <c r="G707" s="13" t="str">
        <f>IFERROR(__xludf.DUMMYFUNCTION("""COMPUTED_VALUE"""),"7406090708100001")</f>
        <v>7406090708100001</v>
      </c>
      <c r="J707" s="7" t="str">
        <f>IFERROR(__xludf.DUMMYFUNCTION("""COMPUTED_VALUE"""),"LAKI-LAKI")</f>
        <v>LAKI-LAKI</v>
      </c>
      <c r="K707" s="6" t="str">
        <f>IFERROR(__xludf.DUMMYFUNCTION("""COMPUTED_VALUE"""),"Desa Tunas Baru ")</f>
        <v>Desa Tunas Baru </v>
      </c>
      <c r="N707" s="8" t="s">
        <v>19</v>
      </c>
      <c r="R707" s="7" t="str">
        <f>IFERROR(__xludf.DUMMYFUNCTION("""COMPUTED_VALUE"""),"K")</f>
        <v>K</v>
      </c>
    </row>
    <row r="708" ht="22.5" customHeight="1">
      <c r="A708" s="6">
        <v>707.0</v>
      </c>
      <c r="B708" s="6" t="str">
        <f>IFERROR(__xludf.DUMMYFUNCTION("""COMPUTED_VALUE"""),"Pemeliharaan Kendaraan Ringan Sistem Injeksi ")</f>
        <v>Pemeliharaan Kendaraan Ringan Sistem Injeksi </v>
      </c>
      <c r="C708" s="6" t="str">
        <f>IFERROR(__xludf.DUMMYFUNCTION("""COMPUTED_VALUE"""),"SMK Negeri 1 Bombana")</f>
        <v>SMK Negeri 1 Bombana</v>
      </c>
      <c r="F708" s="6" t="str">
        <f>IFERROR(__xludf.DUMMYFUNCTION("""COMPUTED_VALUE"""),"DENI SURAWAN")</f>
        <v>DENI SURAWAN</v>
      </c>
      <c r="G708" s="13" t="str">
        <f>IFERROR(__xludf.DUMMYFUNCTION("""COMPUTED_VALUE"""),"7406092801080001")</f>
        <v>7406092801080001</v>
      </c>
      <c r="J708" s="7" t="str">
        <f>IFERROR(__xludf.DUMMYFUNCTION("""COMPUTED_VALUE"""),"LAKI-LAKI")</f>
        <v>LAKI-LAKI</v>
      </c>
      <c r="K708" s="6" t="str">
        <f>IFERROR(__xludf.DUMMYFUNCTION("""COMPUTED_VALUE"""),"Marga Jaya")</f>
        <v>Marga Jaya</v>
      </c>
      <c r="N708" s="8" t="s">
        <v>19</v>
      </c>
      <c r="R708" s="7" t="str">
        <f>IFERROR(__xludf.DUMMYFUNCTION("""COMPUTED_VALUE"""),"K")</f>
        <v>K</v>
      </c>
    </row>
    <row r="709" ht="22.5" customHeight="1">
      <c r="A709" s="6">
        <v>708.0</v>
      </c>
      <c r="B709" s="6" t="str">
        <f>IFERROR(__xludf.DUMMYFUNCTION("""COMPUTED_VALUE"""),"Pemeliharaan Kendaraan Ringan Sistem Injeksi ")</f>
        <v>Pemeliharaan Kendaraan Ringan Sistem Injeksi </v>
      </c>
      <c r="C709" s="6" t="str">
        <f>IFERROR(__xludf.DUMMYFUNCTION("""COMPUTED_VALUE"""),"SMK Negeri 1 Bombana")</f>
        <v>SMK Negeri 1 Bombana</v>
      </c>
      <c r="F709" s="6" t="str">
        <f>IFERROR(__xludf.DUMMYFUNCTION("""COMPUTED_VALUE"""),"ERIK SAPUTRA")</f>
        <v>ERIK SAPUTRA</v>
      </c>
      <c r="G709" s="13" t="str">
        <f>IFERROR(__xludf.DUMMYFUNCTION("""COMPUTED_VALUE"""),"7406091212080001")</f>
        <v>7406091212080001</v>
      </c>
      <c r="J709" s="7" t="str">
        <f>IFERROR(__xludf.DUMMYFUNCTION("""COMPUTED_VALUE"""),"LAKI-LAKI")</f>
        <v>LAKI-LAKI</v>
      </c>
      <c r="K709" s="6" t="str">
        <f>IFERROR(__xludf.DUMMYFUNCTION("""COMPUTED_VALUE"""),"Tembe Dusun III")</f>
        <v>Tembe Dusun III</v>
      </c>
      <c r="N709" s="8" t="s">
        <v>19</v>
      </c>
      <c r="R709" s="7" t="str">
        <f>IFERROR(__xludf.DUMMYFUNCTION("""COMPUTED_VALUE"""),"K")</f>
        <v>K</v>
      </c>
    </row>
    <row r="710" ht="22.5" customHeight="1">
      <c r="A710" s="6">
        <v>709.0</v>
      </c>
      <c r="B710" s="6" t="str">
        <f>IFERROR(__xludf.DUMMYFUNCTION("""COMPUTED_VALUE"""),"Pemeliharaan Kendaraan Ringan Sistem Injeksi ")</f>
        <v>Pemeliharaan Kendaraan Ringan Sistem Injeksi </v>
      </c>
      <c r="C710" s="6" t="str">
        <f>IFERROR(__xludf.DUMMYFUNCTION("""COMPUTED_VALUE"""),"SMK Negeri 1 Bombana")</f>
        <v>SMK Negeri 1 Bombana</v>
      </c>
      <c r="F710" s="6" t="str">
        <f>IFERROR(__xludf.DUMMYFUNCTION("""COMPUTED_VALUE"""),"FIKRAM SAPUTRA")</f>
        <v>FIKRAM SAPUTRA</v>
      </c>
      <c r="G710" s="13" t="str">
        <f>IFERROR(__xludf.DUMMYFUNCTION("""COMPUTED_VALUE"""),"7406212202080001")</f>
        <v>7406212202080001</v>
      </c>
      <c r="J710" s="7" t="str">
        <f>IFERROR(__xludf.DUMMYFUNCTION("""COMPUTED_VALUE"""),"LAKI-LAKI")</f>
        <v>LAKI-LAKI</v>
      </c>
      <c r="K710" s="6" t="str">
        <f>IFERROR(__xludf.DUMMYFUNCTION("""COMPUTED_VALUE"""),"Hukapea Laea")</f>
        <v>Hukapea Laea</v>
      </c>
      <c r="N710" s="8" t="s">
        <v>19</v>
      </c>
      <c r="R710" s="7" t="str">
        <f>IFERROR(__xludf.DUMMYFUNCTION("""COMPUTED_VALUE"""),"K")</f>
        <v>K</v>
      </c>
    </row>
    <row r="711" ht="22.5" customHeight="1">
      <c r="A711" s="6">
        <v>710.0</v>
      </c>
      <c r="B711" s="6" t="str">
        <f>IFERROR(__xludf.DUMMYFUNCTION("""COMPUTED_VALUE"""),"Pemeliharaan Kendaraan Ringan Sistem Injeksi ")</f>
        <v>Pemeliharaan Kendaraan Ringan Sistem Injeksi </v>
      </c>
      <c r="C711" s="6" t="str">
        <f>IFERROR(__xludf.DUMMYFUNCTION("""COMPUTED_VALUE"""),"SMK Negeri 1 Bombana")</f>
        <v>SMK Negeri 1 Bombana</v>
      </c>
      <c r="F711" s="6" t="str">
        <f>IFERROR(__xludf.DUMMYFUNCTION("""COMPUTED_VALUE"""),"I NENGAH JORDI")</f>
        <v>I NENGAH JORDI</v>
      </c>
      <c r="G711" s="13" t="str">
        <f>IFERROR(__xludf.DUMMYFUNCTION("""COMPUTED_VALUE"""),"7406091803080001")</f>
        <v>7406091803080001</v>
      </c>
      <c r="J711" s="7" t="str">
        <f>IFERROR(__xludf.DUMMYFUNCTION("""COMPUTED_VALUE"""),"LAKI-LAKI")</f>
        <v>LAKI-LAKI</v>
      </c>
      <c r="K711" s="6" t="str">
        <f>IFERROR(__xludf.DUMMYFUNCTION("""COMPUTED_VALUE"""),"Marga Jaya")</f>
        <v>Marga Jaya</v>
      </c>
      <c r="N711" s="8" t="s">
        <v>19</v>
      </c>
      <c r="R711" s="7" t="str">
        <f>IFERROR(__xludf.DUMMYFUNCTION("""COMPUTED_VALUE"""),"K")</f>
        <v>K</v>
      </c>
    </row>
    <row r="712" ht="22.5" customHeight="1">
      <c r="A712" s="6">
        <v>711.0</v>
      </c>
      <c r="B712" s="6" t="str">
        <f>IFERROR(__xludf.DUMMYFUNCTION("""COMPUTED_VALUE"""),"Pemeliharaan Kendaraan Ringan Sistem Injeksi ")</f>
        <v>Pemeliharaan Kendaraan Ringan Sistem Injeksi </v>
      </c>
      <c r="C712" s="6" t="str">
        <f>IFERROR(__xludf.DUMMYFUNCTION("""COMPUTED_VALUE"""),"SMK Negeri 1 Bombana")</f>
        <v>SMK Negeri 1 Bombana</v>
      </c>
      <c r="F712" s="6" t="str">
        <f>IFERROR(__xludf.DUMMYFUNCTION("""COMPUTED_VALUE"""),"HAIRIL")</f>
        <v>HAIRIL</v>
      </c>
      <c r="G712" s="13" t="str">
        <f>IFERROR(__xludf.DUMMYFUNCTION("""COMPUTED_VALUE"""),"7406090304080001")</f>
        <v>7406090304080001</v>
      </c>
      <c r="J712" s="7" t="str">
        <f>IFERROR(__xludf.DUMMYFUNCTION("""COMPUTED_VALUE"""),"LAKI-LAKI")</f>
        <v>LAKI-LAKI</v>
      </c>
      <c r="K712" s="6" t="str">
        <f>IFERROR(__xludf.DUMMYFUNCTION("""COMPUTED_VALUE"""),"Watumentape")</f>
        <v>Watumentape</v>
      </c>
      <c r="N712" s="8" t="s">
        <v>19</v>
      </c>
      <c r="R712" s="7" t="str">
        <f>IFERROR(__xludf.DUMMYFUNCTION("""COMPUTED_VALUE"""),"K")</f>
        <v>K</v>
      </c>
    </row>
    <row r="713" ht="22.5" customHeight="1">
      <c r="A713" s="6">
        <v>712.0</v>
      </c>
      <c r="B713" s="6" t="str">
        <f>IFERROR(__xludf.DUMMYFUNCTION("""COMPUTED_VALUE"""),"Pemeliharaan Kendaraan Ringan Sistem Injeksi ")</f>
        <v>Pemeliharaan Kendaraan Ringan Sistem Injeksi </v>
      </c>
      <c r="C713" s="6" t="str">
        <f>IFERROR(__xludf.DUMMYFUNCTION("""COMPUTED_VALUE"""),"SMK Negeri 1 Bombana")</f>
        <v>SMK Negeri 1 Bombana</v>
      </c>
      <c r="F713" s="6" t="str">
        <f>IFERROR(__xludf.DUMMYFUNCTION("""COMPUTED_VALUE"""),"MARTINUS SURYAHADI")</f>
        <v>MARTINUS SURYAHADI</v>
      </c>
      <c r="G713" s="13" t="str">
        <f>IFERROR(__xludf.DUMMYFUNCTION("""COMPUTED_VALUE"""),"7402101611070003")</f>
        <v>7402101611070003</v>
      </c>
      <c r="J713" s="7" t="str">
        <f>IFERROR(__xludf.DUMMYFUNCTION("""COMPUTED_VALUE"""),"LAKI-LAKI")</f>
        <v>LAKI-LAKI</v>
      </c>
      <c r="K713" s="6" t="str">
        <f>IFERROR(__xludf.DUMMYFUNCTION("""COMPUTED_VALUE"""),"Wumbubangka")</f>
        <v>Wumbubangka</v>
      </c>
      <c r="N713" s="8" t="s">
        <v>19</v>
      </c>
      <c r="R713" s="7" t="str">
        <f>IFERROR(__xludf.DUMMYFUNCTION("""COMPUTED_VALUE"""),"K")</f>
        <v>K</v>
      </c>
    </row>
    <row r="714" ht="22.5" customHeight="1">
      <c r="A714" s="6">
        <v>713.0</v>
      </c>
      <c r="B714" s="6" t="str">
        <f>IFERROR(__xludf.DUMMYFUNCTION("""COMPUTED_VALUE"""),"Pemeliharaan Kendaraan Ringan Sistem Injeksi ")</f>
        <v>Pemeliharaan Kendaraan Ringan Sistem Injeksi </v>
      </c>
      <c r="C714" s="6" t="str">
        <f>IFERROR(__xludf.DUMMYFUNCTION("""COMPUTED_VALUE"""),"SMK Negeri 1 Bombana")</f>
        <v>SMK Negeri 1 Bombana</v>
      </c>
      <c r="F714" s="6" t="str">
        <f>IFERROR(__xludf.DUMMYFUNCTION("""COMPUTED_VALUE"""),"MUH. ILMAN")</f>
        <v>MUH. ILMAN</v>
      </c>
      <c r="G714" s="13" t="str">
        <f>IFERROR(__xludf.DUMMYFUNCTION("""COMPUTED_VALUE"""),"7406090810060002")</f>
        <v>7406090810060002</v>
      </c>
      <c r="J714" s="7" t="str">
        <f>IFERROR(__xludf.DUMMYFUNCTION("""COMPUTED_VALUE"""),"LAKI-LAKI")</f>
        <v>LAKI-LAKI</v>
      </c>
      <c r="K714" s="6" t="str">
        <f>IFERROR(__xludf.DUMMYFUNCTION("""COMPUTED_VALUE"""),"Wumbubangka Lasangi SP 9")</f>
        <v>Wumbubangka Lasangi SP 9</v>
      </c>
      <c r="N714" s="8" t="s">
        <v>19</v>
      </c>
      <c r="R714" s="7" t="str">
        <f>IFERROR(__xludf.DUMMYFUNCTION("""COMPUTED_VALUE"""),"K")</f>
        <v>K</v>
      </c>
    </row>
    <row r="715" ht="22.5" customHeight="1">
      <c r="A715" s="6">
        <v>714.0</v>
      </c>
      <c r="B715" s="6" t="str">
        <f>IFERROR(__xludf.DUMMYFUNCTION("""COMPUTED_VALUE"""),"Pemeliharaan Kendaraan Ringan Sistem Injeksi ")</f>
        <v>Pemeliharaan Kendaraan Ringan Sistem Injeksi </v>
      </c>
      <c r="C715" s="6" t="str">
        <f>IFERROR(__xludf.DUMMYFUNCTION("""COMPUTED_VALUE"""),"SMK Negeri 1 Bombana")</f>
        <v>SMK Negeri 1 Bombana</v>
      </c>
      <c r="F715" s="6" t="str">
        <f>IFERROR(__xludf.DUMMYFUNCTION("""COMPUTED_VALUE"""),"MUH. USWATUN HASANAH")</f>
        <v>MUH. USWATUN HASANAH</v>
      </c>
      <c r="G715" s="13" t="str">
        <f>IFERROR(__xludf.DUMMYFUNCTION("""COMPUTED_VALUE"""),"7308060107000139")</f>
        <v>7308060107000139</v>
      </c>
      <c r="J715" s="7" t="str">
        <f>IFERROR(__xludf.DUMMYFUNCTION("""COMPUTED_VALUE"""),"LAKI-LAKI")</f>
        <v>LAKI-LAKI</v>
      </c>
      <c r="K715" s="6" t="str">
        <f>IFERROR(__xludf.DUMMYFUNCTION("""COMPUTED_VALUE"""),"Samaenre")</f>
        <v>Samaenre</v>
      </c>
      <c r="N715" s="8" t="s">
        <v>19</v>
      </c>
      <c r="R715" s="7" t="str">
        <f>IFERROR(__xludf.DUMMYFUNCTION("""COMPUTED_VALUE"""),"K")</f>
        <v>K</v>
      </c>
    </row>
    <row r="716" ht="22.5" customHeight="1">
      <c r="A716" s="6">
        <v>715.0</v>
      </c>
      <c r="B716" s="6" t="str">
        <f>IFERROR(__xludf.DUMMYFUNCTION("""COMPUTED_VALUE"""),"Pemeliharaan Kendaraan Ringan Sistem Injeksi ")</f>
        <v>Pemeliharaan Kendaraan Ringan Sistem Injeksi </v>
      </c>
      <c r="C716" s="6" t="str">
        <f>IFERROR(__xludf.DUMMYFUNCTION("""COMPUTED_VALUE"""),"SMK Negeri 1 Bombana")</f>
        <v>SMK Negeri 1 Bombana</v>
      </c>
      <c r="F716" s="6" t="str">
        <f>IFERROR(__xludf.DUMMYFUNCTION("""COMPUTED_VALUE"""),"MUH. WAHYU PRATAMA")</f>
        <v>MUH. WAHYU PRATAMA</v>
      </c>
      <c r="G716" s="13" t="str">
        <f>IFERROR(__xludf.DUMMYFUNCTION("""COMPUTED_VALUE"""),"7406040107090005")</f>
        <v>7406040107090005</v>
      </c>
      <c r="J716" s="7" t="str">
        <f>IFERROR(__xludf.DUMMYFUNCTION("""COMPUTED_VALUE"""),"LAKI-LAKI")</f>
        <v>LAKI-LAKI</v>
      </c>
      <c r="K716" s="6" t="str">
        <f>IFERROR(__xludf.DUMMYFUNCTION("""COMPUTED_VALUE"""),"Desa Watumentape")</f>
        <v>Desa Watumentape</v>
      </c>
      <c r="N716" s="8" t="s">
        <v>19</v>
      </c>
      <c r="R716" s="7" t="str">
        <f>IFERROR(__xludf.DUMMYFUNCTION("""COMPUTED_VALUE"""),"K")</f>
        <v>K</v>
      </c>
    </row>
    <row r="717" ht="22.5" customHeight="1">
      <c r="A717" s="6">
        <v>716.0</v>
      </c>
      <c r="B717" s="6" t="str">
        <f>IFERROR(__xludf.DUMMYFUNCTION("""COMPUTED_VALUE"""),"Pemeliharaan Kendaraan Ringan Sistem Injeksi ")</f>
        <v>Pemeliharaan Kendaraan Ringan Sistem Injeksi </v>
      </c>
      <c r="C717" s="6" t="str">
        <f>IFERROR(__xludf.DUMMYFUNCTION("""COMPUTED_VALUE"""),"SMK Negeri 1 Bombana")</f>
        <v>SMK Negeri 1 Bombana</v>
      </c>
      <c r="F717" s="6" t="str">
        <f>IFERROR(__xludf.DUMMYFUNCTION("""COMPUTED_VALUE"""),"NURMAN PANDANG")</f>
        <v>NURMAN PANDANG</v>
      </c>
      <c r="G717" s="13" t="str">
        <f>IFERROR(__xludf.DUMMYFUNCTION("""COMPUTED_VALUE"""),"7406090107080002")</f>
        <v>7406090107080002</v>
      </c>
      <c r="J717" s="7" t="str">
        <f>IFERROR(__xludf.DUMMYFUNCTION("""COMPUTED_VALUE"""),"LAKI-LAKI")</f>
        <v>LAKI-LAKI</v>
      </c>
      <c r="K717" s="6" t="str">
        <f>IFERROR(__xludf.DUMMYFUNCTION("""COMPUTED_VALUE"""),"Kel. Aneka Marga")</f>
        <v>Kel. Aneka Marga</v>
      </c>
      <c r="N717" s="8" t="s">
        <v>19</v>
      </c>
      <c r="R717" s="7" t="str">
        <f>IFERROR(__xludf.DUMMYFUNCTION("""COMPUTED_VALUE"""),"K")</f>
        <v>K</v>
      </c>
    </row>
    <row r="718" ht="22.5" customHeight="1">
      <c r="A718" s="6">
        <v>717.0</v>
      </c>
      <c r="B718" s="6" t="str">
        <f>IFERROR(__xludf.DUMMYFUNCTION("""COMPUTED_VALUE"""),"Pemeliharaan Kendaraan Ringan Sistem Injeksi ")</f>
        <v>Pemeliharaan Kendaraan Ringan Sistem Injeksi </v>
      </c>
      <c r="C718" s="6" t="str">
        <f>IFERROR(__xludf.DUMMYFUNCTION("""COMPUTED_VALUE"""),"SMK Negeri 1 Bombana")</f>
        <v>SMK Negeri 1 Bombana</v>
      </c>
      <c r="F718" s="6" t="str">
        <f>IFERROR(__xludf.DUMMYFUNCTION("""COMPUTED_VALUE"""),"ULIL ALBAB")</f>
        <v>ULIL ALBAB</v>
      </c>
      <c r="G718" s="13" t="str">
        <f>IFERROR(__xludf.DUMMYFUNCTION("""COMPUTED_VALUE"""),"7406091909080001")</f>
        <v>7406091909080001</v>
      </c>
      <c r="J718" s="7" t="str">
        <f>IFERROR(__xludf.DUMMYFUNCTION("""COMPUTED_VALUE"""),"LAKI-LAKI")</f>
        <v>LAKI-LAKI</v>
      </c>
      <c r="K718" s="6" t="str">
        <f>IFERROR(__xludf.DUMMYFUNCTION("""COMPUTED_VALUE"""),"Aneka Marga")</f>
        <v>Aneka Marga</v>
      </c>
      <c r="N718" s="8" t="s">
        <v>19</v>
      </c>
      <c r="R718" s="7" t="str">
        <f>IFERROR(__xludf.DUMMYFUNCTION("""COMPUTED_VALUE"""),"K")</f>
        <v>K</v>
      </c>
    </row>
    <row r="719" ht="22.5" customHeight="1">
      <c r="A719" s="6">
        <v>718.0</v>
      </c>
      <c r="B719" s="6" t="str">
        <f>IFERROR(__xludf.DUMMYFUNCTION("""COMPUTED_VALUE"""),"Pemeliharaan Kendaraan Ringan Sistem Injeksi ")</f>
        <v>Pemeliharaan Kendaraan Ringan Sistem Injeksi </v>
      </c>
      <c r="C719" s="6" t="str">
        <f>IFERROR(__xludf.DUMMYFUNCTION("""COMPUTED_VALUE"""),"SMK Negeri 1 Bombana")</f>
        <v>SMK Negeri 1 Bombana</v>
      </c>
      <c r="F719" s="6" t="str">
        <f>IFERROR(__xludf.DUMMYFUNCTION("""COMPUTED_VALUE"""),"YASIN")</f>
        <v>YASIN</v>
      </c>
      <c r="G719" s="13" t="str">
        <f>IFERROR(__xludf.DUMMYFUNCTION("""COMPUTED_VALUE"""),"7406090307080001")</f>
        <v>7406090307080001</v>
      </c>
      <c r="J719" s="7" t="str">
        <f>IFERROR(__xludf.DUMMYFUNCTION("""COMPUTED_VALUE"""),"LAKI-LAKI")</f>
        <v>LAKI-LAKI</v>
      </c>
      <c r="K719" s="6" t="str">
        <f>IFERROR(__xludf.DUMMYFUNCTION("""COMPUTED_VALUE"""),"-")</f>
        <v>-</v>
      </c>
      <c r="N719" s="8" t="s">
        <v>19</v>
      </c>
      <c r="R719" s="7" t="str">
        <f>IFERROR(__xludf.DUMMYFUNCTION("""COMPUTED_VALUE"""),"K")</f>
        <v>K</v>
      </c>
    </row>
    <row r="720" ht="22.5" customHeight="1">
      <c r="A720" s="6">
        <v>719.0</v>
      </c>
      <c r="B720" s="6" t="str">
        <f>IFERROR(__xludf.DUMMYFUNCTION("""COMPUTED_VALUE"""),"Pemeliharaan Kendaraan Ringan Sistem Injeksi ")</f>
        <v>Pemeliharaan Kendaraan Ringan Sistem Injeksi </v>
      </c>
      <c r="C720" s="6" t="str">
        <f>IFERROR(__xludf.DUMMYFUNCTION("""COMPUTED_VALUE"""),"SMK Negeri 1 Bombana")</f>
        <v>SMK Negeri 1 Bombana</v>
      </c>
      <c r="F720" s="6" t="str">
        <f>IFERROR(__xludf.DUMMYFUNCTION("""COMPUTED_VALUE"""),"RISALDI")</f>
        <v>RISALDI</v>
      </c>
      <c r="G720" s="13">
        <f>IFERROR(__xludf.DUMMYFUNCTION("""COMPUTED_VALUE"""),7.37107309930008E14)</f>
        <v>737107309930008</v>
      </c>
      <c r="J720" s="7" t="str">
        <f>IFERROR(__xludf.DUMMYFUNCTION("""COMPUTED_VALUE"""),"LAKI-LAKI")</f>
        <v>LAKI-LAKI</v>
      </c>
      <c r="K720" s="6" t="str">
        <f>IFERROR(__xludf.DUMMYFUNCTION("""COMPUTED_VALUE"""),"Desa Lombakasi, Kec. Lantari Jaya, Kab. Bombana")</f>
        <v>Desa Lombakasi, Kec. Lantari Jaya, Kab. Bombana</v>
      </c>
      <c r="N720" s="8" t="s">
        <v>19</v>
      </c>
      <c r="R720" s="7" t="str">
        <f>IFERROR(__xludf.DUMMYFUNCTION("""COMPUTED_VALUE"""),"K")</f>
        <v>K</v>
      </c>
    </row>
    <row r="721" ht="22.5" customHeight="1">
      <c r="A721" s="6">
        <v>720.0</v>
      </c>
      <c r="B721" s="6" t="str">
        <f>IFERROR(__xludf.DUMMYFUNCTION("""COMPUTED_VALUE"""),"Pengelola Administrasi Perkantoran")</f>
        <v>Pengelola Administrasi Perkantoran</v>
      </c>
      <c r="C721" s="6" t="str">
        <f>IFERROR(__xludf.DUMMYFUNCTION("""COMPUTED_VALUE"""),"SMK Negeri 1 Kolaka")</f>
        <v>SMK Negeri 1 Kolaka</v>
      </c>
      <c r="F721" s="6" t="str">
        <f>IFERROR(__xludf.DUMMYFUNCTION("""COMPUTED_VALUE"""),"Dedy Swandi")</f>
        <v>Dedy Swandi</v>
      </c>
      <c r="G721" s="13">
        <f>IFERROR(__xludf.DUMMYFUNCTION("""COMPUTED_VALUE"""),7.40104111175E15)</f>
        <v>7.40104E+15</v>
      </c>
      <c r="J721" s="7" t="str">
        <f>IFERROR(__xludf.DUMMYFUNCTION("""COMPUTED_VALUE"""),"LAKI-LAKI")</f>
        <v>LAKI-LAKI</v>
      </c>
      <c r="K721" s="6" t="str">
        <f>IFERROR(__xludf.DUMMYFUNCTION("""COMPUTED_VALUE"""),"BTN Griya Satelit Blok C No. 6")</f>
        <v>BTN Griya Satelit Blok C No. 6</v>
      </c>
      <c r="N721" s="8" t="s">
        <v>19</v>
      </c>
      <c r="R721" s="7" t="str">
        <f>IFERROR(__xludf.DUMMYFUNCTION("""COMPUTED_VALUE"""),"K")</f>
        <v>K</v>
      </c>
    </row>
    <row r="722" ht="22.5" customHeight="1">
      <c r="A722" s="6">
        <v>721.0</v>
      </c>
      <c r="B722" s="6" t="str">
        <f>IFERROR(__xludf.DUMMYFUNCTION("""COMPUTED_VALUE"""),"Pengelola Administrasi Perkantoran")</f>
        <v>Pengelola Administrasi Perkantoran</v>
      </c>
      <c r="C722" s="6" t="str">
        <f>IFERROR(__xludf.DUMMYFUNCTION("""COMPUTED_VALUE"""),"SMK Negeri 1 Kolaka")</f>
        <v>SMK Negeri 1 Kolaka</v>
      </c>
      <c r="F722" s="6" t="str">
        <f>IFERROR(__xludf.DUMMYFUNCTION("""COMPUTED_VALUE"""),"Indarwati")</f>
        <v>Indarwati</v>
      </c>
      <c r="G722" s="13">
        <f>IFERROR(__xludf.DUMMYFUNCTION("""COMPUTED_VALUE"""),7.40104541175E15)</f>
        <v>7.40105E+15</v>
      </c>
      <c r="J722" s="7" t="str">
        <f>IFERROR(__xludf.DUMMYFUNCTION("""COMPUTED_VALUE"""),"PEREMPUAN")</f>
        <v>PEREMPUAN</v>
      </c>
      <c r="K722" s="6" t="str">
        <f>IFERROR(__xludf.DUMMYFUNCTION("""COMPUTED_VALUE"""),"BTN Griya Satelit Blok C No. 6")</f>
        <v>BTN Griya Satelit Blok C No. 6</v>
      </c>
      <c r="N722" s="8" t="s">
        <v>19</v>
      </c>
      <c r="R722" s="7" t="str">
        <f>IFERROR(__xludf.DUMMYFUNCTION("""COMPUTED_VALUE"""),"K")</f>
        <v>K</v>
      </c>
    </row>
    <row r="723" ht="22.5" customHeight="1">
      <c r="A723" s="6">
        <v>722.0</v>
      </c>
      <c r="B723" s="6" t="str">
        <f>IFERROR(__xludf.DUMMYFUNCTION("""COMPUTED_VALUE"""),"Pengelola Administrasi Perkantoran")</f>
        <v>Pengelola Administrasi Perkantoran</v>
      </c>
      <c r="C723" s="6" t="str">
        <f>IFERROR(__xludf.DUMMYFUNCTION("""COMPUTED_VALUE"""),"SMK Negeri 1 Kolaka")</f>
        <v>SMK Negeri 1 Kolaka</v>
      </c>
      <c r="F723" s="6" t="str">
        <f>IFERROR(__xludf.DUMMYFUNCTION("""COMPUTED_VALUE"""),"Samran Sonimin")</f>
        <v>Samran Sonimin</v>
      </c>
      <c r="G723" s="13">
        <f>IFERROR(__xludf.DUMMYFUNCTION("""COMPUTED_VALUE"""),7.40104011074E15)</f>
        <v>7.40104E+15</v>
      </c>
      <c r="J723" s="7" t="str">
        <f>IFERROR(__xludf.DUMMYFUNCTION("""COMPUTED_VALUE"""),"LAKI-LAKI")</f>
        <v>LAKI-LAKI</v>
      </c>
      <c r="K723" s="6" t="str">
        <f>IFERROR(__xludf.DUMMYFUNCTION("""COMPUTED_VALUE"""),"Jl. Lawangona, No.3, Kel. Sabilambo")</f>
        <v>Jl. Lawangona, No.3, Kel. Sabilambo</v>
      </c>
      <c r="N723" s="8" t="s">
        <v>19</v>
      </c>
      <c r="R723" s="7" t="str">
        <f>IFERROR(__xludf.DUMMYFUNCTION("""COMPUTED_VALUE"""),"K")</f>
        <v>K</v>
      </c>
    </row>
    <row r="724" ht="22.5" customHeight="1">
      <c r="A724" s="6">
        <v>723.0</v>
      </c>
      <c r="B724" s="6" t="str">
        <f>IFERROR(__xludf.DUMMYFUNCTION("""COMPUTED_VALUE"""),"Pengelola Administrasi Perkantoran")</f>
        <v>Pengelola Administrasi Perkantoran</v>
      </c>
      <c r="C724" s="6" t="str">
        <f>IFERROR(__xludf.DUMMYFUNCTION("""COMPUTED_VALUE"""),"SMK Negeri 1 Kolaka")</f>
        <v>SMK Negeri 1 Kolaka</v>
      </c>
      <c r="F724" s="6" t="str">
        <f>IFERROR(__xludf.DUMMYFUNCTION("""COMPUTED_VALUE"""),"Harmiah")</f>
        <v>Harmiah</v>
      </c>
      <c r="G724" s="13">
        <f>IFERROR(__xludf.DUMMYFUNCTION("""COMPUTED_VALUE"""),7.40110670774E15)</f>
        <v>7.40111E+15</v>
      </c>
      <c r="J724" s="7" t="str">
        <f>IFERROR(__xludf.DUMMYFUNCTION("""COMPUTED_VALUE"""),"PEREMPUAN")</f>
        <v>PEREMPUAN</v>
      </c>
      <c r="K724" s="6"/>
      <c r="N724" s="8" t="s">
        <v>19</v>
      </c>
      <c r="R724" s="7" t="str">
        <f>IFERROR(__xludf.DUMMYFUNCTION("""COMPUTED_VALUE"""),"BK")</f>
        <v>BK</v>
      </c>
    </row>
    <row r="725" ht="22.5" customHeight="1">
      <c r="A725" s="6">
        <v>724.0</v>
      </c>
      <c r="B725" s="6" t="str">
        <f>IFERROR(__xludf.DUMMYFUNCTION("""COMPUTED_VALUE"""),"Pengelola Administrasi Perkantoran")</f>
        <v>Pengelola Administrasi Perkantoran</v>
      </c>
      <c r="C725" s="6" t="str">
        <f>IFERROR(__xludf.DUMMYFUNCTION("""COMPUTED_VALUE"""),"SMK Negeri 1 Kolaka")</f>
        <v>SMK Negeri 1 Kolaka</v>
      </c>
      <c r="F725" s="6" t="str">
        <f>IFERROR(__xludf.DUMMYFUNCTION("""COMPUTED_VALUE"""),"La Made")</f>
        <v>La Made</v>
      </c>
      <c r="G725" s="13" t="str">
        <f>IFERROR(__xludf.DUMMYFUNCTION("""COMPUTED_VALUE"""),"7403211707880201")</f>
        <v>7403211707880201</v>
      </c>
      <c r="J725" s="7" t="str">
        <f>IFERROR(__xludf.DUMMYFUNCTION("""COMPUTED_VALUE"""),"LAKI-LAKI")</f>
        <v>LAKI-LAKI</v>
      </c>
      <c r="K725" s="6" t="str">
        <f>IFERROR(__xludf.DUMMYFUNCTION("""COMPUTED_VALUE"""),"Jl. Pendidikan No. 49 Kolaka")</f>
        <v>Jl. Pendidikan No. 49 Kolaka</v>
      </c>
      <c r="N725" s="8" t="s">
        <v>19</v>
      </c>
      <c r="R725" s="7" t="str">
        <f>IFERROR(__xludf.DUMMYFUNCTION("""COMPUTED_VALUE"""),"K")</f>
        <v>K</v>
      </c>
    </row>
    <row r="726" ht="22.5" customHeight="1">
      <c r="A726" s="6">
        <v>725.0</v>
      </c>
      <c r="B726" s="6" t="str">
        <f>IFERROR(__xludf.DUMMYFUNCTION("""COMPUTED_VALUE"""),"Pengelola Administrasi Perkantoran")</f>
        <v>Pengelola Administrasi Perkantoran</v>
      </c>
      <c r="C726" s="6" t="str">
        <f>IFERROR(__xludf.DUMMYFUNCTION("""COMPUTED_VALUE"""),"SMK Negeri 1 Kolaka")</f>
        <v>SMK Negeri 1 Kolaka</v>
      </c>
      <c r="F726" s="6" t="str">
        <f>IFERROR(__xludf.DUMMYFUNCTION("""COMPUTED_VALUE"""),"I Made Ardi Restawan")</f>
        <v>I Made Ardi Restawan</v>
      </c>
      <c r="G726" s="13">
        <f>IFERROR(__xludf.DUMMYFUNCTION("""COMPUTED_VALUE"""),7.40118150799E15)</f>
        <v>7.40118E+15</v>
      </c>
      <c r="J726" s="7" t="str">
        <f>IFERROR(__xludf.DUMMYFUNCTION("""COMPUTED_VALUE"""),"LAKI-LAKI")</f>
        <v>LAKI-LAKI</v>
      </c>
      <c r="K726" s="6" t="str">
        <f>IFERROR(__xludf.DUMMYFUNCTION("""COMPUTED_VALUE"""),"Jl. Kecapi, Desa Rahanggada, Kec. Tanggetada, Kab. Kolaka")</f>
        <v>Jl. Kecapi, Desa Rahanggada, Kec. Tanggetada, Kab. Kolaka</v>
      </c>
      <c r="N726" s="8" t="s">
        <v>19</v>
      </c>
      <c r="R726" s="7" t="str">
        <f>IFERROR(__xludf.DUMMYFUNCTION("""COMPUTED_VALUE"""),"K")</f>
        <v>K</v>
      </c>
    </row>
    <row r="727" ht="22.5" customHeight="1">
      <c r="A727" s="6">
        <v>726.0</v>
      </c>
      <c r="B727" s="6" t="str">
        <f>IFERROR(__xludf.DUMMYFUNCTION("""COMPUTED_VALUE"""),"Pengelola Administrasi Perkantoran")</f>
        <v>Pengelola Administrasi Perkantoran</v>
      </c>
      <c r="C727" s="6" t="str">
        <f>IFERROR(__xludf.DUMMYFUNCTION("""COMPUTED_VALUE"""),"SMK Negeri 1 Kolaka")</f>
        <v>SMK Negeri 1 Kolaka</v>
      </c>
      <c r="F727" s="6" t="str">
        <f>IFERROR(__xludf.DUMMYFUNCTION("""COMPUTED_VALUE"""),"ABD. AZIS")</f>
        <v>ABD. AZIS</v>
      </c>
      <c r="G727" s="6" t="str">
        <f>IFERROR(__xludf.DUMMYFUNCTION("""COMPUTED_VALUE"""),"7401042012080003")</f>
        <v>7401042012080003</v>
      </c>
      <c r="J727" s="7" t="str">
        <f>IFERROR(__xludf.DUMMYFUNCTION("""COMPUTED_VALUE"""),"LAKI-LAKI")</f>
        <v>LAKI-LAKI</v>
      </c>
      <c r="K727" s="6" t="str">
        <f>IFERROR(__xludf.DUMMYFUNCTION("""COMPUTED_VALUE"""),"Jl. Pemuda, Kel. Laloeha")</f>
        <v>Jl. Pemuda, Kel. Laloeha</v>
      </c>
      <c r="N727" s="8" t="s">
        <v>19</v>
      </c>
      <c r="R727" s="7" t="str">
        <f>IFERROR(__xludf.DUMMYFUNCTION("""COMPUTED_VALUE"""),"K")</f>
        <v>K</v>
      </c>
    </row>
    <row r="728" ht="22.5" customHeight="1">
      <c r="A728" s="6">
        <v>727.0</v>
      </c>
      <c r="B728" s="6" t="str">
        <f>IFERROR(__xludf.DUMMYFUNCTION("""COMPUTED_VALUE"""),"Pengelola Administrasi Perkantoran")</f>
        <v>Pengelola Administrasi Perkantoran</v>
      </c>
      <c r="C728" s="6" t="str">
        <f>IFERROR(__xludf.DUMMYFUNCTION("""COMPUTED_VALUE"""),"SMK Negeri 1 Kolaka")</f>
        <v>SMK Negeri 1 Kolaka</v>
      </c>
      <c r="F728" s="6" t="str">
        <f>IFERROR(__xludf.DUMMYFUNCTION("""COMPUTED_VALUE"""),"ALFIANI ZALIA DEWI")</f>
        <v>ALFIANI ZALIA DEWI</v>
      </c>
      <c r="G728" s="6" t="str">
        <f>IFERROR(__xludf.DUMMYFUNCTION("""COMPUTED_VALUE"""),"7401146912060001")</f>
        <v>7401146912060001</v>
      </c>
      <c r="J728" s="7" t="str">
        <f>IFERROR(__xludf.DUMMYFUNCTION("""COMPUTED_VALUE"""),"PEREMPUAN")</f>
        <v>PEREMPUAN</v>
      </c>
      <c r="K728" s="6" t="str">
        <f>IFERROR(__xludf.DUMMYFUNCTION("""COMPUTED_VALUE"""),"Jl. Kanera")</f>
        <v>Jl. Kanera</v>
      </c>
      <c r="N728" s="8" t="s">
        <v>19</v>
      </c>
      <c r="R728" s="7" t="str">
        <f>IFERROR(__xludf.DUMMYFUNCTION("""COMPUTED_VALUE"""),"K")</f>
        <v>K</v>
      </c>
    </row>
    <row r="729" ht="22.5" customHeight="1">
      <c r="A729" s="6">
        <v>728.0</v>
      </c>
      <c r="B729" s="6" t="str">
        <f>IFERROR(__xludf.DUMMYFUNCTION("""COMPUTED_VALUE"""),"Pengelola Administrasi Perkantoran")</f>
        <v>Pengelola Administrasi Perkantoran</v>
      </c>
      <c r="C729" s="6" t="str">
        <f>IFERROR(__xludf.DUMMYFUNCTION("""COMPUTED_VALUE"""),"SMK Negeri 1 Kolaka")</f>
        <v>SMK Negeri 1 Kolaka</v>
      </c>
      <c r="F729" s="6" t="str">
        <f>IFERROR(__xludf.DUMMYFUNCTION("""COMPUTED_VALUE"""),"ANDI DEBY FATIMAH JUNISA")</f>
        <v>ANDI DEBY FATIMAH JUNISA</v>
      </c>
      <c r="G729" s="6" t="str">
        <f>IFERROR(__xludf.DUMMYFUNCTION("""COMPUTED_VALUE"""),"7401145806070003")</f>
        <v>7401145806070003</v>
      </c>
      <c r="J729" s="7" t="str">
        <f>IFERROR(__xludf.DUMMYFUNCTION("""COMPUTED_VALUE"""),"PEREMPUAN")</f>
        <v>PEREMPUAN</v>
      </c>
      <c r="K729" s="6" t="str">
        <f>IFERROR(__xludf.DUMMYFUNCTION("""COMPUTED_VALUE"""),"Jl. Aladi")</f>
        <v>Jl. Aladi</v>
      </c>
      <c r="N729" s="8" t="s">
        <v>19</v>
      </c>
      <c r="R729" s="7" t="str">
        <f>IFERROR(__xludf.DUMMYFUNCTION("""COMPUTED_VALUE"""),"K")</f>
        <v>K</v>
      </c>
    </row>
    <row r="730" ht="22.5" customHeight="1">
      <c r="A730" s="6">
        <v>729.0</v>
      </c>
      <c r="B730" s="6" t="str">
        <f>IFERROR(__xludf.DUMMYFUNCTION("""COMPUTED_VALUE"""),"Pengelola Administrasi Perkantoran")</f>
        <v>Pengelola Administrasi Perkantoran</v>
      </c>
      <c r="C730" s="6" t="str">
        <f>IFERROR(__xludf.DUMMYFUNCTION("""COMPUTED_VALUE"""),"SMK Negeri 1 Kolaka")</f>
        <v>SMK Negeri 1 Kolaka</v>
      </c>
      <c r="F730" s="6" t="str">
        <f>IFERROR(__xludf.DUMMYFUNCTION("""COMPUTED_VALUE"""),"Aril Arifin.S")</f>
        <v>Aril Arifin.S</v>
      </c>
      <c r="G730" s="6" t="str">
        <f>IFERROR(__xludf.DUMMYFUNCTION("""COMPUTED_VALUE"""),"7401141006080002")</f>
        <v>7401141006080002</v>
      </c>
      <c r="J730" s="7" t="str">
        <f>IFERROR(__xludf.DUMMYFUNCTION("""COMPUTED_VALUE"""),"LAKI-LAKI")</f>
        <v>LAKI-LAKI</v>
      </c>
      <c r="K730" s="6" t="str">
        <f>IFERROR(__xludf.DUMMYFUNCTION("""COMPUTED_VALUE"""),"Jl. Air Panas, Kel. Ulunggolaka, Kec. Latambaga")</f>
        <v>Jl. Air Panas, Kel. Ulunggolaka, Kec. Latambaga</v>
      </c>
      <c r="N730" s="8" t="s">
        <v>19</v>
      </c>
      <c r="R730" s="7" t="str">
        <f>IFERROR(__xludf.DUMMYFUNCTION("""COMPUTED_VALUE"""),"K")</f>
        <v>K</v>
      </c>
    </row>
    <row r="731" ht="22.5" customHeight="1">
      <c r="A731" s="6">
        <v>730.0</v>
      </c>
      <c r="B731" s="6" t="str">
        <f>IFERROR(__xludf.DUMMYFUNCTION("""COMPUTED_VALUE"""),"Pengelola Administrasi Perkantoran")</f>
        <v>Pengelola Administrasi Perkantoran</v>
      </c>
      <c r="C731" s="6" t="str">
        <f>IFERROR(__xludf.DUMMYFUNCTION("""COMPUTED_VALUE"""),"SMK Negeri 1 Kolaka")</f>
        <v>SMK Negeri 1 Kolaka</v>
      </c>
      <c r="F731" s="6" t="str">
        <f>IFERROR(__xludf.DUMMYFUNCTION("""COMPUTED_VALUE"""),"AZISAH")</f>
        <v>AZISAH</v>
      </c>
      <c r="G731" s="6" t="str">
        <f>IFERROR(__xludf.DUMMYFUNCTION("""COMPUTED_VALUE"""),"7401046101080001")</f>
        <v>7401046101080001</v>
      </c>
      <c r="J731" s="7" t="str">
        <f>IFERROR(__xludf.DUMMYFUNCTION("""COMPUTED_VALUE"""),"PEREMPUAN")</f>
        <v>PEREMPUAN</v>
      </c>
      <c r="K731" s="6" t="str">
        <f>IFERROR(__xludf.DUMMYFUNCTION("""COMPUTED_VALUE"""),"Jl. Dr. Samratulangi")</f>
        <v>Jl. Dr. Samratulangi</v>
      </c>
      <c r="N731" s="8" t="s">
        <v>19</v>
      </c>
      <c r="R731" s="7" t="str">
        <f>IFERROR(__xludf.DUMMYFUNCTION("""COMPUTED_VALUE"""),"K")</f>
        <v>K</v>
      </c>
    </row>
    <row r="732" ht="22.5" customHeight="1">
      <c r="A732" s="6">
        <v>731.0</v>
      </c>
      <c r="B732" s="6" t="str">
        <f>IFERROR(__xludf.DUMMYFUNCTION("""COMPUTED_VALUE"""),"Pengelola Administrasi Perkantoran")</f>
        <v>Pengelola Administrasi Perkantoran</v>
      </c>
      <c r="C732" s="6" t="str">
        <f>IFERROR(__xludf.DUMMYFUNCTION("""COMPUTED_VALUE"""),"SMK Negeri 1 Kolaka")</f>
        <v>SMK Negeri 1 Kolaka</v>
      </c>
      <c r="F732" s="6" t="str">
        <f>IFERROR(__xludf.DUMMYFUNCTION("""COMPUTED_VALUE"""),"BIMBIM SAKTI PRIBUMI")</f>
        <v>BIMBIM SAKTI PRIBUMI</v>
      </c>
      <c r="G732" s="6" t="str">
        <f>IFERROR(__xludf.DUMMYFUNCTION("""COMPUTED_VALUE"""),"7401141002080002")</f>
        <v>7401141002080002</v>
      </c>
      <c r="J732" s="7" t="str">
        <f>IFERROR(__xludf.DUMMYFUNCTION("""COMPUTED_VALUE"""),"LAKI-LAKI")</f>
        <v>LAKI-LAKI</v>
      </c>
      <c r="K732" s="6" t="str">
        <f>IFERROR(__xludf.DUMMYFUNCTION("""COMPUTED_VALUE"""),"Jl. Meohai")</f>
        <v>Jl. Meohai</v>
      </c>
      <c r="N732" s="8" t="s">
        <v>19</v>
      </c>
      <c r="R732" s="7" t="str">
        <f>IFERROR(__xludf.DUMMYFUNCTION("""COMPUTED_VALUE"""),"K")</f>
        <v>K</v>
      </c>
    </row>
    <row r="733" ht="22.5" customHeight="1">
      <c r="A733" s="6">
        <v>732.0</v>
      </c>
      <c r="B733" s="6" t="str">
        <f>IFERROR(__xludf.DUMMYFUNCTION("""COMPUTED_VALUE"""),"Pengelola Administrasi Perkantoran")</f>
        <v>Pengelola Administrasi Perkantoran</v>
      </c>
      <c r="C733" s="6" t="str">
        <f>IFERROR(__xludf.DUMMYFUNCTION("""COMPUTED_VALUE"""),"SMK Negeri 1 Kolaka")</f>
        <v>SMK Negeri 1 Kolaka</v>
      </c>
      <c r="F733" s="6" t="str">
        <f>IFERROR(__xludf.DUMMYFUNCTION("""COMPUTED_VALUE"""),"Bunga Ayu Andira")</f>
        <v>Bunga Ayu Andira</v>
      </c>
      <c r="G733" s="6" t="str">
        <f>IFERROR(__xludf.DUMMYFUNCTION("""COMPUTED_VALUE"""),"7401145707080002")</f>
        <v>7401145707080002</v>
      </c>
      <c r="J733" s="7" t="str">
        <f>IFERROR(__xludf.DUMMYFUNCTION("""COMPUTED_VALUE"""),"PEREMPUAN")</f>
        <v>PEREMPUAN</v>
      </c>
      <c r="K733" s="6" t="str">
        <f>IFERROR(__xludf.DUMMYFUNCTION("""COMPUTED_VALUE"""),"Jl. TPI No. 6 Kel. Kolakaasi, Kec. Latambaga")</f>
        <v>Jl. TPI No. 6 Kel. Kolakaasi, Kec. Latambaga</v>
      </c>
      <c r="N733" s="8" t="s">
        <v>19</v>
      </c>
      <c r="R733" s="7" t="str">
        <f>IFERROR(__xludf.DUMMYFUNCTION("""COMPUTED_VALUE"""),"K")</f>
        <v>K</v>
      </c>
    </row>
    <row r="734" ht="22.5" customHeight="1">
      <c r="A734" s="6">
        <v>733.0</v>
      </c>
      <c r="B734" s="6" t="str">
        <f>IFERROR(__xludf.DUMMYFUNCTION("""COMPUTED_VALUE"""),"Pengelola Administrasi Perkantoran")</f>
        <v>Pengelola Administrasi Perkantoran</v>
      </c>
      <c r="C734" s="6" t="str">
        <f>IFERROR(__xludf.DUMMYFUNCTION("""COMPUTED_VALUE"""),"SMK Negeri 1 Kolaka")</f>
        <v>SMK Negeri 1 Kolaka</v>
      </c>
      <c r="F734" s="6" t="str">
        <f>IFERROR(__xludf.DUMMYFUNCTION("""COMPUTED_VALUE"""),"BUQHARI B.")</f>
        <v>BUQHARI B.</v>
      </c>
      <c r="G734" s="6" t="str">
        <f>IFERROR(__xludf.DUMMYFUNCTION("""COMPUTED_VALUE"""),"7401012010080001")</f>
        <v>7401012010080001</v>
      </c>
      <c r="J734" s="7" t="str">
        <f>IFERROR(__xludf.DUMMYFUNCTION("""COMPUTED_VALUE"""),"LAKI-LAKI")</f>
        <v>LAKI-LAKI</v>
      </c>
      <c r="K734" s="6" t="str">
        <f>IFERROR(__xludf.DUMMYFUNCTION("""COMPUTED_VALUE"""),"Jl. bypass Kolaka Pomala")</f>
        <v>Jl. bypass Kolaka Pomala</v>
      </c>
      <c r="N734" s="8" t="s">
        <v>19</v>
      </c>
      <c r="R734" s="7" t="str">
        <f>IFERROR(__xludf.DUMMYFUNCTION("""COMPUTED_VALUE"""),"K")</f>
        <v>K</v>
      </c>
    </row>
    <row r="735" ht="22.5" customHeight="1">
      <c r="A735" s="6">
        <v>734.0</v>
      </c>
      <c r="B735" s="6" t="str">
        <f>IFERROR(__xludf.DUMMYFUNCTION("""COMPUTED_VALUE"""),"Pengelola Administrasi Perkantoran")</f>
        <v>Pengelola Administrasi Perkantoran</v>
      </c>
      <c r="C735" s="6" t="str">
        <f>IFERROR(__xludf.DUMMYFUNCTION("""COMPUTED_VALUE"""),"SMK Negeri 1 Kolaka")</f>
        <v>SMK Negeri 1 Kolaka</v>
      </c>
      <c r="F735" s="6" t="str">
        <f>IFERROR(__xludf.DUMMYFUNCTION("""COMPUTED_VALUE"""),"CAHAYA MADINA")</f>
        <v>CAHAYA MADINA</v>
      </c>
      <c r="G735" s="6" t="str">
        <f>IFERROR(__xludf.DUMMYFUNCTION("""COMPUTED_VALUE"""),"7401046711080001")</f>
        <v>7401046711080001</v>
      </c>
      <c r="J735" s="7" t="str">
        <f>IFERROR(__xludf.DUMMYFUNCTION("""COMPUTED_VALUE"""),"PEREMPUAN")</f>
        <v>PEREMPUAN</v>
      </c>
      <c r="K735" s="6" t="str">
        <f>IFERROR(__xludf.DUMMYFUNCTION("""COMPUTED_VALUE"""),"Jl. Halo-oleoh")</f>
        <v>Jl. Halo-oleoh</v>
      </c>
      <c r="N735" s="8" t="s">
        <v>19</v>
      </c>
      <c r="R735" s="7" t="str">
        <f>IFERROR(__xludf.DUMMYFUNCTION("""COMPUTED_VALUE"""),"K")</f>
        <v>K</v>
      </c>
    </row>
    <row r="736" ht="22.5" customHeight="1">
      <c r="A736" s="6">
        <v>735.0</v>
      </c>
      <c r="B736" s="6" t="str">
        <f>IFERROR(__xludf.DUMMYFUNCTION("""COMPUTED_VALUE"""),"Pengelola Administrasi Perkantoran")</f>
        <v>Pengelola Administrasi Perkantoran</v>
      </c>
      <c r="C736" s="6" t="str">
        <f>IFERROR(__xludf.DUMMYFUNCTION("""COMPUTED_VALUE"""),"SMK Negeri 1 Kolaka")</f>
        <v>SMK Negeri 1 Kolaka</v>
      </c>
      <c r="F736" s="6" t="str">
        <f>IFERROR(__xludf.DUMMYFUNCTION("""COMPUTED_VALUE"""),"CANDRA")</f>
        <v>CANDRA</v>
      </c>
      <c r="G736" s="6" t="str">
        <f>IFERROR(__xludf.DUMMYFUNCTION("""COMPUTED_VALUE"""),"7401140707080002")</f>
        <v>7401140707080002</v>
      </c>
      <c r="J736" s="7" t="str">
        <f>IFERROR(__xludf.DUMMYFUNCTION("""COMPUTED_VALUE"""),"LAKI-LAKI")</f>
        <v>LAKI-LAKI</v>
      </c>
      <c r="K736" s="6" t="str">
        <f>IFERROR(__xludf.DUMMYFUNCTION("""COMPUTED_VALUE"""),"Kel. Sakuli, Kec. Latambaga")</f>
        <v>Kel. Sakuli, Kec. Latambaga</v>
      </c>
      <c r="N736" s="8" t="s">
        <v>19</v>
      </c>
      <c r="R736" s="7" t="str">
        <f>IFERROR(__xludf.DUMMYFUNCTION("""COMPUTED_VALUE"""),"K")</f>
        <v>K</v>
      </c>
    </row>
    <row r="737" ht="22.5" customHeight="1">
      <c r="A737" s="6">
        <v>736.0</v>
      </c>
      <c r="B737" s="6" t="str">
        <f>IFERROR(__xludf.DUMMYFUNCTION("""COMPUTED_VALUE"""),"Pengelola Administrasi Perkantoran")</f>
        <v>Pengelola Administrasi Perkantoran</v>
      </c>
      <c r="C737" s="6" t="str">
        <f>IFERROR(__xludf.DUMMYFUNCTION("""COMPUTED_VALUE"""),"SMK Negeri 1 Kolaka")</f>
        <v>SMK Negeri 1 Kolaka</v>
      </c>
      <c r="F737" s="6" t="str">
        <f>IFERROR(__xludf.DUMMYFUNCTION("""COMPUTED_VALUE"""),"DEA JULIARTI JAENUDDIN")</f>
        <v>DEA JULIARTI JAENUDDIN</v>
      </c>
      <c r="G737" s="6" t="str">
        <f>IFERROR(__xludf.DUMMYFUNCTION("""COMPUTED_VALUE"""),"7401046907070003")</f>
        <v>7401046907070003</v>
      </c>
      <c r="J737" s="7" t="str">
        <f>IFERROR(__xludf.DUMMYFUNCTION("""COMPUTED_VALUE"""),"PEREMPUAN")</f>
        <v>PEREMPUAN</v>
      </c>
      <c r="K737" s="6" t="str">
        <f>IFERROR(__xludf.DUMMYFUNCTION("""COMPUTED_VALUE"""),"Jl. ponorogo No.10")</f>
        <v>Jl. ponorogo No.10</v>
      </c>
      <c r="N737" s="8" t="s">
        <v>19</v>
      </c>
      <c r="R737" s="7" t="str">
        <f>IFERROR(__xludf.DUMMYFUNCTION("""COMPUTED_VALUE"""),"K")</f>
        <v>K</v>
      </c>
    </row>
    <row r="738" ht="22.5" customHeight="1">
      <c r="A738" s="6">
        <v>737.0</v>
      </c>
      <c r="B738" s="6" t="str">
        <f>IFERROR(__xludf.DUMMYFUNCTION("""COMPUTED_VALUE"""),"Pengelola Administrasi Perkantoran")</f>
        <v>Pengelola Administrasi Perkantoran</v>
      </c>
      <c r="C738" s="6" t="str">
        <f>IFERROR(__xludf.DUMMYFUNCTION("""COMPUTED_VALUE"""),"SMK Negeri 1 Kolaka")</f>
        <v>SMK Negeri 1 Kolaka</v>
      </c>
      <c r="F738" s="6" t="str">
        <f>IFERROR(__xludf.DUMMYFUNCTION("""COMPUTED_VALUE"""),"DEVI")</f>
        <v>DEVI</v>
      </c>
      <c r="G738" s="6" t="str">
        <f>IFERROR(__xludf.DUMMYFUNCTION("""COMPUTED_VALUE"""),"7401144607090004")</f>
        <v>7401144607090004</v>
      </c>
      <c r="J738" s="7" t="str">
        <f>IFERROR(__xludf.DUMMYFUNCTION("""COMPUTED_VALUE"""),"PEREMPUAN")</f>
        <v>PEREMPUAN</v>
      </c>
      <c r="K738" s="6" t="str">
        <f>IFERROR(__xludf.DUMMYFUNCTION("""COMPUTED_VALUE"""),"Kel. Manggolo, Kec. Latambaga, Kab. Kolaka")</f>
        <v>Kel. Manggolo, Kec. Latambaga, Kab. Kolaka</v>
      </c>
      <c r="N738" s="8" t="s">
        <v>19</v>
      </c>
      <c r="R738" s="7" t="str">
        <f>IFERROR(__xludf.DUMMYFUNCTION("""COMPUTED_VALUE"""),"K")</f>
        <v>K</v>
      </c>
    </row>
    <row r="739" ht="22.5" customHeight="1">
      <c r="A739" s="6">
        <v>738.0</v>
      </c>
      <c r="B739" s="6" t="str">
        <f>IFERROR(__xludf.DUMMYFUNCTION("""COMPUTED_VALUE"""),"Pengelola Administrasi Perkantoran")</f>
        <v>Pengelola Administrasi Perkantoran</v>
      </c>
      <c r="C739" s="6" t="str">
        <f>IFERROR(__xludf.DUMMYFUNCTION("""COMPUTED_VALUE"""),"SMK Negeri 1 Kolaka")</f>
        <v>SMK Negeri 1 Kolaka</v>
      </c>
      <c r="F739" s="6" t="str">
        <f>IFERROR(__xludf.DUMMYFUNCTION("""COMPUTED_VALUE"""),"ELISAH BARRANG")</f>
        <v>ELISAH BARRANG</v>
      </c>
      <c r="G739" s="6" t="str">
        <f>IFERROR(__xludf.DUMMYFUNCTION("""COMPUTED_VALUE"""),"7401016105080002")</f>
        <v>7401016105080002</v>
      </c>
      <c r="J739" s="7" t="str">
        <f>IFERROR(__xludf.DUMMYFUNCTION("""COMPUTED_VALUE"""),"PEREMPUAN")</f>
        <v>PEREMPUAN</v>
      </c>
      <c r="K739" s="6" t="str">
        <f>IFERROR(__xludf.DUMMYFUNCTION("""COMPUTED_VALUE"""),"Jl. Sumber Rejeki")</f>
        <v>Jl. Sumber Rejeki</v>
      </c>
      <c r="N739" s="8" t="s">
        <v>19</v>
      </c>
      <c r="R739" s="7" t="str">
        <f>IFERROR(__xludf.DUMMYFUNCTION("""COMPUTED_VALUE"""),"K")</f>
        <v>K</v>
      </c>
    </row>
    <row r="740" ht="22.5" customHeight="1">
      <c r="A740" s="6">
        <v>739.0</v>
      </c>
      <c r="B740" s="6" t="str">
        <f>IFERROR(__xludf.DUMMYFUNCTION("""COMPUTED_VALUE"""),"Pengelola Administrasi Perkantoran")</f>
        <v>Pengelola Administrasi Perkantoran</v>
      </c>
      <c r="C740" s="6" t="str">
        <f>IFERROR(__xludf.DUMMYFUNCTION("""COMPUTED_VALUE"""),"SMK Negeri 1 Kolaka")</f>
        <v>SMK Negeri 1 Kolaka</v>
      </c>
      <c r="F740" s="6" t="str">
        <f>IFERROR(__xludf.DUMMYFUNCTION("""COMPUTED_VALUE"""),"FAREL ORZIDIQ POBELA")</f>
        <v>FAREL ORZIDIQ POBELA</v>
      </c>
      <c r="G740" s="6" t="str">
        <f>IFERROR(__xludf.DUMMYFUNCTION("""COMPUTED_VALUE"""),"7401042510070002")</f>
        <v>7401042510070002</v>
      </c>
      <c r="J740" s="7" t="str">
        <f>IFERROR(__xludf.DUMMYFUNCTION("""COMPUTED_VALUE"""),"LAKI-LAKI")</f>
        <v>LAKI-LAKI</v>
      </c>
      <c r="K740" s="6" t="str">
        <f>IFERROR(__xludf.DUMMYFUNCTION("""COMPUTED_VALUE"""),"Jl. Pendidikan")</f>
        <v>Jl. Pendidikan</v>
      </c>
      <c r="N740" s="8" t="s">
        <v>19</v>
      </c>
      <c r="R740" s="7" t="str">
        <f>IFERROR(__xludf.DUMMYFUNCTION("""COMPUTED_VALUE"""),"K")</f>
        <v>K</v>
      </c>
    </row>
    <row r="741" ht="22.5" customHeight="1">
      <c r="A741" s="6">
        <v>740.0</v>
      </c>
      <c r="B741" s="6" t="str">
        <f>IFERROR(__xludf.DUMMYFUNCTION("""COMPUTED_VALUE"""),"Pengelola Administrasi Perkantoran")</f>
        <v>Pengelola Administrasi Perkantoran</v>
      </c>
      <c r="C741" s="6" t="str">
        <f>IFERROR(__xludf.DUMMYFUNCTION("""COMPUTED_VALUE"""),"SMK Negeri 1 Kolaka")</f>
        <v>SMK Negeri 1 Kolaka</v>
      </c>
      <c r="F741" s="6" t="str">
        <f>IFERROR(__xludf.DUMMYFUNCTION("""COMPUTED_VALUE"""),"MARSEL DA'WA PUTRA")</f>
        <v>MARSEL DA'WA PUTRA</v>
      </c>
      <c r="G741" s="6" t="str">
        <f>IFERROR(__xludf.DUMMYFUNCTION("""COMPUTED_VALUE"""),"7401010609080001")</f>
        <v>7401010609080001</v>
      </c>
      <c r="J741" s="7" t="str">
        <f>IFERROR(__xludf.DUMMYFUNCTION("""COMPUTED_VALUE"""),"LAKI-LAKI")</f>
        <v>LAKI-LAKI</v>
      </c>
      <c r="K741" s="6" t="str">
        <f>IFERROR(__xludf.DUMMYFUNCTION("""COMPUTED_VALUE"""),"By Pas Kolaka, Pomala")</f>
        <v>By Pas Kolaka, Pomala</v>
      </c>
      <c r="N741" s="8" t="s">
        <v>19</v>
      </c>
      <c r="R741" s="7" t="str">
        <f>IFERROR(__xludf.DUMMYFUNCTION("""COMPUTED_VALUE"""),"K")</f>
        <v>K</v>
      </c>
    </row>
    <row r="742" ht="22.5" customHeight="1">
      <c r="A742" s="6">
        <v>741.0</v>
      </c>
      <c r="B742" s="6" t="str">
        <f>IFERROR(__xludf.DUMMYFUNCTION("""COMPUTED_VALUE"""),"Pengelola Administrasi Perkantoran")</f>
        <v>Pengelola Administrasi Perkantoran</v>
      </c>
      <c r="C742" s="6" t="str">
        <f>IFERROR(__xludf.DUMMYFUNCTION("""COMPUTED_VALUE"""),"SMK Negeri 1 Kolaka")</f>
        <v>SMK Negeri 1 Kolaka</v>
      </c>
      <c r="F742" s="6" t="str">
        <f>IFERROR(__xludf.DUMMYFUNCTION("""COMPUTED_VALUE"""),"Muh. Khaerul Ramadhan")</f>
        <v>Muh. Khaerul Ramadhan</v>
      </c>
      <c r="G742" s="6" t="str">
        <f>IFERROR(__xludf.DUMMYFUNCTION("""COMPUTED_VALUE"""),"7401140609080001")</f>
        <v>7401140609080001</v>
      </c>
      <c r="J742" s="7" t="str">
        <f>IFERROR(__xludf.DUMMYFUNCTION("""COMPUTED_VALUE"""),"LAKI-LAKI")</f>
        <v>LAKI-LAKI</v>
      </c>
      <c r="K742" s="6" t="str">
        <f>IFERROR(__xludf.DUMMYFUNCTION("""COMPUTED_VALUE"""),"Jl. Durian, Kel. sakuli, Kab. Kolaka")</f>
        <v>Jl. Durian, Kel. sakuli, Kab. Kolaka</v>
      </c>
      <c r="N742" s="8" t="s">
        <v>19</v>
      </c>
      <c r="R742" s="7" t="str">
        <f>IFERROR(__xludf.DUMMYFUNCTION("""COMPUTED_VALUE"""),"K")</f>
        <v>K</v>
      </c>
    </row>
    <row r="743" ht="22.5" customHeight="1">
      <c r="A743" s="6">
        <v>742.0</v>
      </c>
      <c r="B743" s="6" t="str">
        <f>IFERROR(__xludf.DUMMYFUNCTION("""COMPUTED_VALUE"""),"Pengelola Administrasi Perkantoran")</f>
        <v>Pengelola Administrasi Perkantoran</v>
      </c>
      <c r="C743" s="6" t="str">
        <f>IFERROR(__xludf.DUMMYFUNCTION("""COMPUTED_VALUE"""),"SMK Negeri 1 Kolaka")</f>
        <v>SMK Negeri 1 Kolaka</v>
      </c>
      <c r="F743" s="6" t="str">
        <f>IFERROR(__xludf.DUMMYFUNCTION("""COMPUTED_VALUE"""),"Rangga Renaldy")</f>
        <v>Rangga Renaldy</v>
      </c>
      <c r="G743" s="6" t="str">
        <f>IFERROR(__xludf.DUMMYFUNCTION("""COMPUTED_VALUE"""),"7401140406070002")</f>
        <v>7401140406070002</v>
      </c>
      <c r="J743" s="7" t="str">
        <f>IFERROR(__xludf.DUMMYFUNCTION("""COMPUTED_VALUE"""),"LAKI-LAKI")</f>
        <v>LAKI-LAKI</v>
      </c>
      <c r="K743" s="6" t="str">
        <f>IFERROR(__xludf.DUMMYFUNCTION("""COMPUTED_VALUE"""),"Ulunggolaka")</f>
        <v>Ulunggolaka</v>
      </c>
      <c r="N743" s="8" t="s">
        <v>19</v>
      </c>
      <c r="R743" s="7" t="str">
        <f>IFERROR(__xludf.DUMMYFUNCTION("""COMPUTED_VALUE"""),"K")</f>
        <v>K</v>
      </c>
    </row>
    <row r="744" ht="22.5" customHeight="1">
      <c r="A744" s="6">
        <v>743.0</v>
      </c>
      <c r="B744" s="6" t="str">
        <f>IFERROR(__xludf.DUMMYFUNCTION("""COMPUTED_VALUE"""),"Pengelola Administrasi Perkantoran")</f>
        <v>Pengelola Administrasi Perkantoran</v>
      </c>
      <c r="C744" s="6" t="str">
        <f>IFERROR(__xludf.DUMMYFUNCTION("""COMPUTED_VALUE"""),"SMK Negeri 1 Kolaka")</f>
        <v>SMK Negeri 1 Kolaka</v>
      </c>
      <c r="F744" s="6" t="str">
        <f>IFERROR(__xludf.DUMMYFUNCTION("""COMPUTED_VALUE"""),"Rasti")</f>
        <v>Rasti</v>
      </c>
      <c r="G744" s="6" t="str">
        <f>IFERROR(__xludf.DUMMYFUNCTION("""COMPUTED_VALUE"""),"7401144101070002")</f>
        <v>7401144101070002</v>
      </c>
      <c r="J744" s="7" t="str">
        <f>IFERROR(__xludf.DUMMYFUNCTION("""COMPUTED_VALUE"""),"PEREMPUAN")</f>
        <v>PEREMPUAN</v>
      </c>
      <c r="K744" s="6" t="str">
        <f>IFERROR(__xludf.DUMMYFUNCTION("""COMPUTED_VALUE"""),"Jl. TPI")</f>
        <v>Jl. TPI</v>
      </c>
      <c r="N744" s="8" t="s">
        <v>19</v>
      </c>
      <c r="R744" s="7" t="str">
        <f>IFERROR(__xludf.DUMMYFUNCTION("""COMPUTED_VALUE"""),"K")</f>
        <v>K</v>
      </c>
    </row>
    <row r="745" ht="22.5" customHeight="1">
      <c r="A745" s="6">
        <v>744.0</v>
      </c>
      <c r="B745" s="6" t="str">
        <f>IFERROR(__xludf.DUMMYFUNCTION("""COMPUTED_VALUE"""),"Pengelola Administrasi Perkantoran")</f>
        <v>Pengelola Administrasi Perkantoran</v>
      </c>
      <c r="C745" s="6" t="str">
        <f>IFERROR(__xludf.DUMMYFUNCTION("""COMPUTED_VALUE"""),"SMK Negeri 1 Kolaka")</f>
        <v>SMK Negeri 1 Kolaka</v>
      </c>
      <c r="F745" s="6" t="str">
        <f>IFERROR(__xludf.DUMMYFUNCTION("""COMPUTED_VALUE"""),"REFALDO")</f>
        <v>REFALDO</v>
      </c>
      <c r="G745" s="6" t="str">
        <f>IFERROR(__xludf.DUMMYFUNCTION("""COMPUTED_VALUE"""),"7401142507080002")</f>
        <v>7401142507080002</v>
      </c>
      <c r="J745" s="7" t="str">
        <f>IFERROR(__xludf.DUMMYFUNCTION("""COMPUTED_VALUE"""),"LAKI-LAKI")</f>
        <v>LAKI-LAKI</v>
      </c>
      <c r="K745" s="6" t="str">
        <f>IFERROR(__xludf.DUMMYFUNCTION("""COMPUTED_VALUE"""),"Jl. Delima")</f>
        <v>Jl. Delima</v>
      </c>
      <c r="N745" s="8" t="s">
        <v>19</v>
      </c>
      <c r="R745" s="7" t="str">
        <f>IFERROR(__xludf.DUMMYFUNCTION("""COMPUTED_VALUE"""),"K")</f>
        <v>K</v>
      </c>
    </row>
    <row r="746" ht="22.5" customHeight="1">
      <c r="A746" s="6">
        <v>745.0</v>
      </c>
      <c r="B746" s="6" t="str">
        <f>IFERROR(__xludf.DUMMYFUNCTION("""COMPUTED_VALUE"""),"Pengelola Administrasi Perkantoran")</f>
        <v>Pengelola Administrasi Perkantoran</v>
      </c>
      <c r="C746" s="6" t="str">
        <f>IFERROR(__xludf.DUMMYFUNCTION("""COMPUTED_VALUE"""),"SMK Negeri 1 Kolaka")</f>
        <v>SMK Negeri 1 Kolaka</v>
      </c>
      <c r="F746" s="6" t="str">
        <f>IFERROR(__xludf.DUMMYFUNCTION("""COMPUTED_VALUE"""),"Rezky")</f>
        <v>Rezky</v>
      </c>
      <c r="G746" s="6" t="str">
        <f>IFERROR(__xludf.DUMMYFUNCTION("""COMPUTED_VALUE"""),"7401042201090002")</f>
        <v>7401042201090002</v>
      </c>
      <c r="J746" s="7" t="str">
        <f>IFERROR(__xludf.DUMMYFUNCTION("""COMPUTED_VALUE"""),"LAKI-LAKI")</f>
        <v>LAKI-LAKI</v>
      </c>
      <c r="K746" s="6" t="str">
        <f>IFERROR(__xludf.DUMMYFUNCTION("""COMPUTED_VALUE"""),"Jl. Pemuda")</f>
        <v>Jl. Pemuda</v>
      </c>
      <c r="N746" s="8" t="s">
        <v>19</v>
      </c>
      <c r="R746" s="7" t="str">
        <f>IFERROR(__xludf.DUMMYFUNCTION("""COMPUTED_VALUE"""),"K")</f>
        <v>K</v>
      </c>
    </row>
    <row r="747" ht="22.5" customHeight="1">
      <c r="A747" s="6">
        <v>746.0</v>
      </c>
      <c r="B747" s="6" t="str">
        <f>IFERROR(__xludf.DUMMYFUNCTION("""COMPUTED_VALUE"""),"Pengelola Administrasi Perkantoran")</f>
        <v>Pengelola Administrasi Perkantoran</v>
      </c>
      <c r="C747" s="6" t="str">
        <f>IFERROR(__xludf.DUMMYFUNCTION("""COMPUTED_VALUE"""),"SMK Negeri 1 Kolaka")</f>
        <v>SMK Negeri 1 Kolaka</v>
      </c>
      <c r="F747" s="6" t="str">
        <f>IFERROR(__xludf.DUMMYFUNCTION("""COMPUTED_VALUE"""),"RISKA")</f>
        <v>RISKA</v>
      </c>
      <c r="G747" s="6" t="str">
        <f>IFERROR(__xludf.DUMMYFUNCTION("""COMPUTED_VALUE"""),"7307076910060001")</f>
        <v>7307076910060001</v>
      </c>
      <c r="J747" s="7" t="str">
        <f>IFERROR(__xludf.DUMMYFUNCTION("""COMPUTED_VALUE"""),"PEREMPUAN")</f>
        <v>PEREMPUAN</v>
      </c>
      <c r="K747" s="6" t="str">
        <f>IFERROR(__xludf.DUMMYFUNCTION("""COMPUTED_VALUE"""),"Kilo 11, Jalan Poros Kalaka Kendari")</f>
        <v>Kilo 11, Jalan Poros Kalaka Kendari</v>
      </c>
      <c r="N747" s="8" t="s">
        <v>19</v>
      </c>
      <c r="R747" s="7" t="str">
        <f>IFERROR(__xludf.DUMMYFUNCTION("""COMPUTED_VALUE"""),"K")</f>
        <v>K</v>
      </c>
    </row>
    <row r="748" ht="22.5" customHeight="1">
      <c r="A748" s="6">
        <v>747.0</v>
      </c>
      <c r="B748" s="6" t="str">
        <f>IFERROR(__xludf.DUMMYFUNCTION("""COMPUTED_VALUE"""),"Pengelola Administrasi Perkantoran")</f>
        <v>Pengelola Administrasi Perkantoran</v>
      </c>
      <c r="C748" s="6" t="str">
        <f>IFERROR(__xludf.DUMMYFUNCTION("""COMPUTED_VALUE"""),"SMK Negeri 1 Kolaka")</f>
        <v>SMK Negeri 1 Kolaka</v>
      </c>
      <c r="F748" s="6" t="str">
        <f>IFERROR(__xludf.DUMMYFUNCTION("""COMPUTED_VALUE"""),"Satriani")</f>
        <v>Satriani</v>
      </c>
      <c r="G748" s="6" t="str">
        <f>IFERROR(__xludf.DUMMYFUNCTION("""COMPUTED_VALUE"""),"7401146911080002")</f>
        <v>7401146911080002</v>
      </c>
      <c r="J748" s="7" t="str">
        <f>IFERROR(__xludf.DUMMYFUNCTION("""COMPUTED_VALUE"""),"PEREMPUAN")</f>
        <v>PEREMPUAN</v>
      </c>
      <c r="K748" s="6" t="str">
        <f>IFERROR(__xludf.DUMMYFUNCTION("""COMPUTED_VALUE"""),"Jl. Durian, Kel. Sakuli, Kec. Latambaga")</f>
        <v>Jl. Durian, Kel. Sakuli, Kec. Latambaga</v>
      </c>
      <c r="N748" s="8" t="s">
        <v>19</v>
      </c>
      <c r="R748" s="7" t="str">
        <f>IFERROR(__xludf.DUMMYFUNCTION("""COMPUTED_VALUE"""),"K")</f>
        <v>K</v>
      </c>
    </row>
    <row r="749" ht="22.5" customHeight="1">
      <c r="A749" s="6">
        <v>748.0</v>
      </c>
      <c r="B749" s="6" t="str">
        <f>IFERROR(__xludf.DUMMYFUNCTION("""COMPUTED_VALUE"""),"Pengelola Administrasi Perkantoran")</f>
        <v>Pengelola Administrasi Perkantoran</v>
      </c>
      <c r="C749" s="6" t="str">
        <f>IFERROR(__xludf.DUMMYFUNCTION("""COMPUTED_VALUE"""),"SMK Negeri 1 Kolaka")</f>
        <v>SMK Negeri 1 Kolaka</v>
      </c>
      <c r="F749" s="6" t="str">
        <f>IFERROR(__xludf.DUMMYFUNCTION("""COMPUTED_VALUE"""),"SELSIA BELLA")</f>
        <v>SELSIA BELLA</v>
      </c>
      <c r="G749" s="6" t="str">
        <f>IFERROR(__xludf.DUMMYFUNCTION("""COMPUTED_VALUE"""),"7401047105080001")</f>
        <v>7401047105080001</v>
      </c>
      <c r="J749" s="7" t="str">
        <f>IFERROR(__xludf.DUMMYFUNCTION("""COMPUTED_VALUE"""),"PEREMPUAN")</f>
        <v>PEREMPUAN</v>
      </c>
      <c r="K749" s="6" t="str">
        <f>IFERROR(__xludf.DUMMYFUNCTION("""COMPUTED_VALUE"""),"Tamalaki 1")</f>
        <v>Tamalaki 1</v>
      </c>
      <c r="N749" s="8" t="s">
        <v>19</v>
      </c>
      <c r="R749" s="7" t="str">
        <f>IFERROR(__xludf.DUMMYFUNCTION("""COMPUTED_VALUE"""),"K")</f>
        <v>K</v>
      </c>
    </row>
    <row r="750" ht="22.5" customHeight="1">
      <c r="A750" s="6">
        <v>749.0</v>
      </c>
      <c r="B750" s="6" t="str">
        <f>IFERROR(__xludf.DUMMYFUNCTION("""COMPUTED_VALUE"""),"Pengelola Administrasi Perkantoran")</f>
        <v>Pengelola Administrasi Perkantoran</v>
      </c>
      <c r="C750" s="6" t="str">
        <f>IFERROR(__xludf.DUMMYFUNCTION("""COMPUTED_VALUE"""),"SMK Negeri 1 Kolaka")</f>
        <v>SMK Negeri 1 Kolaka</v>
      </c>
      <c r="F750" s="6" t="str">
        <f>IFERROR(__xludf.DUMMYFUNCTION("""COMPUTED_VALUE"""),"Tias Najwa Sinistia Wadhi")</f>
        <v>Tias Najwa Sinistia Wadhi</v>
      </c>
      <c r="G750" s="6" t="str">
        <f>IFERROR(__xludf.DUMMYFUNCTION("""COMPUTED_VALUE"""),"7401045306080001")</f>
        <v>7401045306080001</v>
      </c>
      <c r="J750" s="7" t="str">
        <f>IFERROR(__xludf.DUMMYFUNCTION("""COMPUTED_VALUE"""),"PEREMPUAN")</f>
        <v>PEREMPUAN</v>
      </c>
      <c r="K750" s="6" t="str">
        <f>IFERROR(__xludf.DUMMYFUNCTION("""COMPUTED_VALUE"""),"Jl. Pramuka")</f>
        <v>Jl. Pramuka</v>
      </c>
      <c r="N750" s="8" t="s">
        <v>19</v>
      </c>
      <c r="R750" s="7" t="str">
        <f>IFERROR(__xludf.DUMMYFUNCTION("""COMPUTED_VALUE"""),"K")</f>
        <v>K</v>
      </c>
    </row>
    <row r="751" ht="22.5" customHeight="1">
      <c r="A751" s="6">
        <v>750.0</v>
      </c>
      <c r="B751" s="6" t="str">
        <f>IFERROR(__xludf.DUMMYFUNCTION("""COMPUTED_VALUE"""),"Pengelola Administrasi Perkantoran")</f>
        <v>Pengelola Administrasi Perkantoran</v>
      </c>
      <c r="C751" s="6" t="str">
        <f>IFERROR(__xludf.DUMMYFUNCTION("""COMPUTED_VALUE"""),"SMK Negeri 1 Kolaka")</f>
        <v>SMK Negeri 1 Kolaka</v>
      </c>
      <c r="F751" s="6" t="str">
        <f>IFERROR(__xludf.DUMMYFUNCTION("""COMPUTED_VALUE"""),"TRI INDAR AULIA")</f>
        <v>TRI INDAR AULIA</v>
      </c>
      <c r="G751" s="6" t="str">
        <f>IFERROR(__xludf.DUMMYFUNCTION("""COMPUTED_VALUE"""),"7401046003090001")</f>
        <v>7401046003090001</v>
      </c>
      <c r="J751" s="7" t="str">
        <f>IFERROR(__xludf.DUMMYFUNCTION("""COMPUTED_VALUE"""),"PEREMPUAN")</f>
        <v>PEREMPUAN</v>
      </c>
      <c r="K751" s="6" t="str">
        <f>IFERROR(__xludf.DUMMYFUNCTION("""COMPUTED_VALUE"""),"Jl. H. Ukkas B")</f>
        <v>Jl. H. Ukkas B</v>
      </c>
      <c r="N751" s="8" t="s">
        <v>19</v>
      </c>
      <c r="R751" s="7" t="str">
        <f>IFERROR(__xludf.DUMMYFUNCTION("""COMPUTED_VALUE"""),"K")</f>
        <v>K</v>
      </c>
    </row>
    <row r="752" ht="22.5" customHeight="1">
      <c r="A752" s="6">
        <v>751.0</v>
      </c>
      <c r="B752" s="6" t="str">
        <f>IFERROR(__xludf.DUMMYFUNCTION("""COMPUTED_VALUE"""),"Pengelola Administrasi Perkantoran")</f>
        <v>Pengelola Administrasi Perkantoran</v>
      </c>
      <c r="C752" s="6" t="str">
        <f>IFERROR(__xludf.DUMMYFUNCTION("""COMPUTED_VALUE"""),"SMK Negeri 1 Kolaka")</f>
        <v>SMK Negeri 1 Kolaka</v>
      </c>
      <c r="F752" s="6" t="str">
        <f>IFERROR(__xludf.DUMMYFUNCTION("""COMPUTED_VALUE"""),"Vanessa Aurel Princes Dianto")</f>
        <v>Vanessa Aurel Princes Dianto</v>
      </c>
      <c r="G752" s="6" t="str">
        <f>IFERROR(__xludf.DUMMYFUNCTION("""COMPUTED_VALUE"""),"7401146208080001")</f>
        <v>7401146208080001</v>
      </c>
      <c r="J752" s="7" t="str">
        <f>IFERROR(__xludf.DUMMYFUNCTION("""COMPUTED_VALUE"""),"PEREMPUAN")</f>
        <v>PEREMPUAN</v>
      </c>
      <c r="K752" s="6" t="str">
        <f>IFERROR(__xludf.DUMMYFUNCTION("""COMPUTED_VALUE"""),"Jl. Abadi No. 46")</f>
        <v>Jl. Abadi No. 46</v>
      </c>
      <c r="N752" s="8" t="s">
        <v>19</v>
      </c>
      <c r="R752" s="7" t="str">
        <f>IFERROR(__xludf.DUMMYFUNCTION("""COMPUTED_VALUE"""),"K")</f>
        <v>K</v>
      </c>
    </row>
    <row r="753" ht="22.5" customHeight="1">
      <c r="A753" s="6">
        <v>752.0</v>
      </c>
      <c r="B753" s="6" t="str">
        <f>IFERROR(__xludf.DUMMYFUNCTION("""COMPUTED_VALUE"""),"Pengelola Administrasi Perkantoran")</f>
        <v>Pengelola Administrasi Perkantoran</v>
      </c>
      <c r="C753" s="6" t="str">
        <f>IFERROR(__xludf.DUMMYFUNCTION("""COMPUTED_VALUE"""),"SMK Negeri 1 Kolaka")</f>
        <v>SMK Negeri 1 Kolaka</v>
      </c>
      <c r="F753" s="6" t="str">
        <f>IFERROR(__xludf.DUMMYFUNCTION("""COMPUTED_VALUE"""),"FERDI")</f>
        <v>FERDI</v>
      </c>
      <c r="G753" s="6" t="str">
        <f>IFERROR(__xludf.DUMMYFUNCTION("""COMPUTED_VALUE"""),"7401142710080002")</f>
        <v>7401142710080002</v>
      </c>
      <c r="J753" s="7" t="str">
        <f>IFERROR(__xludf.DUMMYFUNCTION("""COMPUTED_VALUE"""),"LAKI-LAKI")</f>
        <v>LAKI-LAKI</v>
      </c>
      <c r="K753" s="6" t="str">
        <f>IFERROR(__xludf.DUMMYFUNCTION("""COMPUTED_VALUE"""),"Jl. Kemakmuran No. 50")</f>
        <v>Jl. Kemakmuran No. 50</v>
      </c>
      <c r="N753" s="8" t="s">
        <v>19</v>
      </c>
      <c r="R753" s="7" t="str">
        <f>IFERROR(__xludf.DUMMYFUNCTION("""COMPUTED_VALUE"""),"K")</f>
        <v>K</v>
      </c>
    </row>
    <row r="754" ht="22.5" customHeight="1">
      <c r="A754" s="6">
        <v>753.0</v>
      </c>
      <c r="B754" s="6" t="str">
        <f>IFERROR(__xludf.DUMMYFUNCTION("""COMPUTED_VALUE"""),"Pengelola Administrasi Perkantoran")</f>
        <v>Pengelola Administrasi Perkantoran</v>
      </c>
      <c r="C754" s="6" t="str">
        <f>IFERROR(__xludf.DUMMYFUNCTION("""COMPUTED_VALUE"""),"SMK Negeri 1 Kolaka")</f>
        <v>SMK Negeri 1 Kolaka</v>
      </c>
      <c r="F754" s="6" t="str">
        <f>IFERROR(__xludf.DUMMYFUNCTION("""COMPUTED_VALUE"""),"ADAM")</f>
        <v>ADAM</v>
      </c>
      <c r="G754" s="6" t="str">
        <f>IFERROR(__xludf.DUMMYFUNCTION("""COMPUTED_VALUE"""),"7401202103070003")</f>
        <v>7401202103070003</v>
      </c>
      <c r="J754" s="7" t="str">
        <f>IFERROR(__xludf.DUMMYFUNCTION("""COMPUTED_VALUE"""),"LAKI-LAKI")</f>
        <v>LAKI-LAKI</v>
      </c>
      <c r="K754" s="6" t="str">
        <f>IFERROR(__xludf.DUMMYFUNCTION("""COMPUTED_VALUE"""),"Jln. Muara Kolaka")</f>
        <v>Jln. Muara Kolaka</v>
      </c>
      <c r="N754" s="8" t="s">
        <v>19</v>
      </c>
      <c r="R754" s="7" t="str">
        <f>IFERROR(__xludf.DUMMYFUNCTION("""COMPUTED_VALUE"""),"K")</f>
        <v>K</v>
      </c>
    </row>
    <row r="755" ht="22.5" customHeight="1">
      <c r="A755" s="6">
        <v>754.0</v>
      </c>
      <c r="B755" s="6" t="str">
        <f>IFERROR(__xludf.DUMMYFUNCTION("""COMPUTED_VALUE"""),"Pengelola Administrasi Perkantoran")</f>
        <v>Pengelola Administrasi Perkantoran</v>
      </c>
      <c r="C755" s="6" t="str">
        <f>IFERROR(__xludf.DUMMYFUNCTION("""COMPUTED_VALUE"""),"SMK Negeri 1 Kolaka")</f>
        <v>SMK Negeri 1 Kolaka</v>
      </c>
      <c r="F755" s="6" t="str">
        <f>IFERROR(__xludf.DUMMYFUNCTION("""COMPUTED_VALUE"""),"AMANDA MUTMAINNA")</f>
        <v>AMANDA MUTMAINNA</v>
      </c>
      <c r="G755" s="6" t="str">
        <f>IFERROR(__xludf.DUMMYFUNCTION("""COMPUTED_VALUE"""),"7401206802080002")</f>
        <v>7401206802080002</v>
      </c>
      <c r="J755" s="7" t="str">
        <f>IFERROR(__xludf.DUMMYFUNCTION("""COMPUTED_VALUE"""),"PEREMPUAN")</f>
        <v>PEREMPUAN</v>
      </c>
      <c r="K755" s="6" t="str">
        <f>IFERROR(__xludf.DUMMYFUNCTION("""COMPUTED_VALUE"""),"Dusun V Towua, Kec. Wandulako")</f>
        <v>Dusun V Towua, Kec. Wandulako</v>
      </c>
      <c r="N755" s="8" t="s">
        <v>19</v>
      </c>
      <c r="R755" s="7" t="str">
        <f>IFERROR(__xludf.DUMMYFUNCTION("""COMPUTED_VALUE"""),"K")</f>
        <v>K</v>
      </c>
    </row>
    <row r="756" ht="22.5" customHeight="1">
      <c r="A756" s="6">
        <v>755.0</v>
      </c>
      <c r="B756" s="6" t="str">
        <f>IFERROR(__xludf.DUMMYFUNCTION("""COMPUTED_VALUE"""),"Pengelola Administrasi Perkantoran")</f>
        <v>Pengelola Administrasi Perkantoran</v>
      </c>
      <c r="C756" s="6" t="str">
        <f>IFERROR(__xludf.DUMMYFUNCTION("""COMPUTED_VALUE"""),"SMK Negeri 1 Kolaka")</f>
        <v>SMK Negeri 1 Kolaka</v>
      </c>
      <c r="F756" s="6" t="str">
        <f>IFERROR(__xludf.DUMMYFUNCTION("""COMPUTED_VALUE"""),"ANASTASYA")</f>
        <v>ANASTASYA</v>
      </c>
      <c r="G756" s="6" t="str">
        <f>IFERROR(__xludf.DUMMYFUNCTION("""COMPUTED_VALUE"""),"7401146508080001")</f>
        <v>7401146508080001</v>
      </c>
      <c r="J756" s="7" t="str">
        <f>IFERROR(__xludf.DUMMYFUNCTION("""COMPUTED_VALUE"""),"PEREMPUAN")</f>
        <v>PEREMPUAN</v>
      </c>
      <c r="K756" s="6" t="str">
        <f>IFERROR(__xludf.DUMMYFUNCTION("""COMPUTED_VALUE"""),"Jl. Permata Biru")</f>
        <v>Jl. Permata Biru</v>
      </c>
      <c r="N756" s="8" t="s">
        <v>19</v>
      </c>
      <c r="R756" s="7" t="str">
        <f>IFERROR(__xludf.DUMMYFUNCTION("""COMPUTED_VALUE"""),"K")</f>
        <v>K</v>
      </c>
    </row>
    <row r="757" ht="22.5" customHeight="1">
      <c r="A757" s="6">
        <v>756.0</v>
      </c>
      <c r="B757" s="6" t="str">
        <f>IFERROR(__xludf.DUMMYFUNCTION("""COMPUTED_VALUE"""),"Pengelola Administrasi Perkantoran")</f>
        <v>Pengelola Administrasi Perkantoran</v>
      </c>
      <c r="C757" s="6" t="str">
        <f>IFERROR(__xludf.DUMMYFUNCTION("""COMPUTED_VALUE"""),"SMK Negeri 1 Kolaka")</f>
        <v>SMK Negeri 1 Kolaka</v>
      </c>
      <c r="F757" s="6" t="str">
        <f>IFERROR(__xludf.DUMMYFUNCTION("""COMPUTED_VALUE"""),"Avrilia")</f>
        <v>Avrilia</v>
      </c>
      <c r="G757" s="6" t="str">
        <f>IFERROR(__xludf.DUMMYFUNCTION("""COMPUTED_VALUE"""),"7401146904080002")</f>
        <v>7401146904080002</v>
      </c>
      <c r="J757" s="7" t="str">
        <f>IFERROR(__xludf.DUMMYFUNCTION("""COMPUTED_VALUE"""),"PEREMPUAN")</f>
        <v>PEREMPUAN</v>
      </c>
      <c r="K757" s="6" t="str">
        <f>IFERROR(__xludf.DUMMYFUNCTION("""COMPUTED_VALUE"""),"Jl. Opo")</f>
        <v>Jl. Opo</v>
      </c>
      <c r="N757" s="8" t="s">
        <v>19</v>
      </c>
      <c r="R757" s="7" t="str">
        <f>IFERROR(__xludf.DUMMYFUNCTION("""COMPUTED_VALUE"""),"K")</f>
        <v>K</v>
      </c>
    </row>
    <row r="758" ht="22.5" customHeight="1">
      <c r="A758" s="6">
        <v>757.0</v>
      </c>
      <c r="B758" s="6" t="str">
        <f>IFERROR(__xludf.DUMMYFUNCTION("""COMPUTED_VALUE"""),"Pengelola Administrasi Perkantoran")</f>
        <v>Pengelola Administrasi Perkantoran</v>
      </c>
      <c r="C758" s="6" t="str">
        <f>IFERROR(__xludf.DUMMYFUNCTION("""COMPUTED_VALUE"""),"SMK Negeri 1 Kolaka")</f>
        <v>SMK Negeri 1 Kolaka</v>
      </c>
      <c r="F758" s="6" t="str">
        <f>IFERROR(__xludf.DUMMYFUNCTION("""COMPUTED_VALUE"""),"Fani Rahmawati")</f>
        <v>Fani Rahmawati</v>
      </c>
      <c r="G758" s="6" t="str">
        <f>IFERROR(__xludf.DUMMYFUNCTION("""COMPUTED_VALUE"""),"7401046905090001")</f>
        <v>7401046905090001</v>
      </c>
      <c r="J758" s="7" t="str">
        <f>IFERROR(__xludf.DUMMYFUNCTION("""COMPUTED_VALUE"""),"PEREMPUAN")</f>
        <v>PEREMPUAN</v>
      </c>
      <c r="K758" s="6" t="str">
        <f>IFERROR(__xludf.DUMMYFUNCTION("""COMPUTED_VALUE"""),"Lalomba Jl. Gajah")</f>
        <v>Lalomba Jl. Gajah</v>
      </c>
      <c r="N758" s="8" t="s">
        <v>19</v>
      </c>
      <c r="R758" s="7" t="str">
        <f>IFERROR(__xludf.DUMMYFUNCTION("""COMPUTED_VALUE"""),"K")</f>
        <v>K</v>
      </c>
    </row>
    <row r="759" ht="22.5" customHeight="1">
      <c r="A759" s="6">
        <v>758.0</v>
      </c>
      <c r="B759" s="6" t="str">
        <f>IFERROR(__xludf.DUMMYFUNCTION("""COMPUTED_VALUE"""),"Pengelola Administrasi Perkantoran")</f>
        <v>Pengelola Administrasi Perkantoran</v>
      </c>
      <c r="C759" s="6" t="str">
        <f>IFERROR(__xludf.DUMMYFUNCTION("""COMPUTED_VALUE"""),"SMK Negeri 1 Kolaka")</f>
        <v>SMK Negeri 1 Kolaka</v>
      </c>
      <c r="F759" s="6" t="str">
        <f>IFERROR(__xludf.DUMMYFUNCTION("""COMPUTED_VALUE"""),"FEBRILIYANTI ZYAKILHA R.")</f>
        <v>FEBRILIYANTI ZYAKILHA R.</v>
      </c>
      <c r="G759" s="6" t="str">
        <f>IFERROR(__xludf.DUMMYFUNCTION("""COMPUTED_VALUE"""),"7401045601080001")</f>
        <v>7401045601080001</v>
      </c>
      <c r="J759" s="7" t="str">
        <f>IFERROR(__xludf.DUMMYFUNCTION("""COMPUTED_VALUE"""),"PEREMPUAN")</f>
        <v>PEREMPUAN</v>
      </c>
      <c r="K759" s="6" t="str">
        <f>IFERROR(__xludf.DUMMYFUNCTION("""COMPUTED_VALUE"""),"Jl. Mekongga Indah")</f>
        <v>Jl. Mekongga Indah</v>
      </c>
      <c r="N759" s="8" t="s">
        <v>19</v>
      </c>
      <c r="R759" s="7" t="str">
        <f>IFERROR(__xludf.DUMMYFUNCTION("""COMPUTED_VALUE"""),"K")</f>
        <v>K</v>
      </c>
    </row>
    <row r="760" ht="22.5" customHeight="1">
      <c r="A760" s="6">
        <v>759.0</v>
      </c>
      <c r="B760" s="6" t="str">
        <f>IFERROR(__xludf.DUMMYFUNCTION("""COMPUTED_VALUE"""),"Pengelola Administrasi Perkantoran")</f>
        <v>Pengelola Administrasi Perkantoran</v>
      </c>
      <c r="C760" s="6" t="str">
        <f>IFERROR(__xludf.DUMMYFUNCTION("""COMPUTED_VALUE"""),"SMK Negeri 1 Kolaka")</f>
        <v>SMK Negeri 1 Kolaka</v>
      </c>
      <c r="F760" s="6" t="str">
        <f>IFERROR(__xludf.DUMMYFUNCTION("""COMPUTED_VALUE"""),"HIKMA")</f>
        <v>HIKMA</v>
      </c>
      <c r="G760" s="6" t="str">
        <f>IFERROR(__xludf.DUMMYFUNCTION("""COMPUTED_VALUE"""),"7401044701090001")</f>
        <v>7401044701090001</v>
      </c>
      <c r="J760" s="7" t="str">
        <f>IFERROR(__xludf.DUMMYFUNCTION("""COMPUTED_VALUE"""),"PEREMPUAN")</f>
        <v>PEREMPUAN</v>
      </c>
      <c r="K760" s="6" t="str">
        <f>IFERROR(__xludf.DUMMYFUNCTION("""COMPUTED_VALUE"""),"Jalan Poros Kolaka - Kendari KM 16")</f>
        <v>Jalan Poros Kolaka - Kendari KM 16</v>
      </c>
      <c r="N760" s="8" t="s">
        <v>19</v>
      </c>
      <c r="R760" s="7" t="str">
        <f>IFERROR(__xludf.DUMMYFUNCTION("""COMPUTED_VALUE"""),"K")</f>
        <v>K</v>
      </c>
    </row>
    <row r="761" ht="22.5" customHeight="1">
      <c r="A761" s="6">
        <v>760.0</v>
      </c>
      <c r="B761" s="6" t="str">
        <f>IFERROR(__xludf.DUMMYFUNCTION("""COMPUTED_VALUE"""),"Pengelola Administrasi Perkantoran")</f>
        <v>Pengelola Administrasi Perkantoran</v>
      </c>
      <c r="C761" s="6" t="str">
        <f>IFERROR(__xludf.DUMMYFUNCTION("""COMPUTED_VALUE"""),"SMK Negeri 1 Kolaka")</f>
        <v>SMK Negeri 1 Kolaka</v>
      </c>
      <c r="F761" s="6" t="str">
        <f>IFERROR(__xludf.DUMMYFUNCTION("""COMPUTED_VALUE"""),"INDRI SAFITRI")</f>
        <v>INDRI SAFITRI</v>
      </c>
      <c r="G761" s="6" t="str">
        <f>IFERROR(__xludf.DUMMYFUNCTION("""COMPUTED_VALUE"""),"7401204109070003")</f>
        <v>7401204109070003</v>
      </c>
      <c r="J761" s="7" t="str">
        <f>IFERROR(__xludf.DUMMYFUNCTION("""COMPUTED_VALUE"""),"PEREMPUAN")</f>
        <v>PEREMPUAN</v>
      </c>
      <c r="K761" s="6" t="str">
        <f>IFERROR(__xludf.DUMMYFUNCTION("""COMPUTED_VALUE"""),"Balandete")</f>
        <v>Balandete</v>
      </c>
      <c r="N761" s="8" t="s">
        <v>19</v>
      </c>
      <c r="R761" s="7" t="str">
        <f>IFERROR(__xludf.DUMMYFUNCTION("""COMPUTED_VALUE"""),"K")</f>
        <v>K</v>
      </c>
    </row>
    <row r="762" ht="22.5" customHeight="1">
      <c r="A762" s="6">
        <v>761.0</v>
      </c>
      <c r="B762" s="6" t="str">
        <f>IFERROR(__xludf.DUMMYFUNCTION("""COMPUTED_VALUE"""),"Pengelola Administrasi Perkantoran")</f>
        <v>Pengelola Administrasi Perkantoran</v>
      </c>
      <c r="C762" s="6" t="str">
        <f>IFERROR(__xludf.DUMMYFUNCTION("""COMPUTED_VALUE"""),"SMK Negeri 1 Kolaka")</f>
        <v>SMK Negeri 1 Kolaka</v>
      </c>
      <c r="F762" s="6" t="str">
        <f>IFERROR(__xludf.DUMMYFUNCTION("""COMPUTED_VALUE"""),"Kasih")</f>
        <v>Kasih</v>
      </c>
      <c r="G762" s="6" t="str">
        <f>IFERROR(__xludf.DUMMYFUNCTION("""COMPUTED_VALUE"""),"7406076305080002")</f>
        <v>7406076305080002</v>
      </c>
      <c r="J762" s="7" t="str">
        <f>IFERROR(__xludf.DUMMYFUNCTION("""COMPUTED_VALUE"""),"PEREMPUAN")</f>
        <v>PEREMPUAN</v>
      </c>
      <c r="K762" s="6" t="str">
        <f>IFERROR(__xludf.DUMMYFUNCTION("""COMPUTED_VALUE"""),"Laloha, Kecamatan Kolaka")</f>
        <v>Laloha, Kecamatan Kolaka</v>
      </c>
      <c r="N762" s="8" t="s">
        <v>19</v>
      </c>
      <c r="R762" s="7" t="str">
        <f>IFERROR(__xludf.DUMMYFUNCTION("""COMPUTED_VALUE"""),"K")</f>
        <v>K</v>
      </c>
    </row>
    <row r="763" ht="22.5" customHeight="1">
      <c r="A763" s="6">
        <v>762.0</v>
      </c>
      <c r="B763" s="6" t="str">
        <f>IFERROR(__xludf.DUMMYFUNCTION("""COMPUTED_VALUE"""),"Pengelola Administrasi Perkantoran")</f>
        <v>Pengelola Administrasi Perkantoran</v>
      </c>
      <c r="C763" s="6" t="str">
        <f>IFERROR(__xludf.DUMMYFUNCTION("""COMPUTED_VALUE"""),"SMK Negeri 1 Kolaka")</f>
        <v>SMK Negeri 1 Kolaka</v>
      </c>
      <c r="F763" s="6" t="str">
        <f>IFERROR(__xludf.DUMMYFUNCTION("""COMPUTED_VALUE"""),"Mega")</f>
        <v>Mega</v>
      </c>
      <c r="G763" s="6" t="str">
        <f>IFERROR(__xludf.DUMMYFUNCTION("""COMPUTED_VALUE"""),"7401145011070003")</f>
        <v>7401145011070003</v>
      </c>
      <c r="J763" s="7" t="str">
        <f>IFERROR(__xludf.DUMMYFUNCTION("""COMPUTED_VALUE"""),"PEREMPUAN")</f>
        <v>PEREMPUAN</v>
      </c>
      <c r="K763" s="6" t="str">
        <f>IFERROR(__xludf.DUMMYFUNCTION("""COMPUTED_VALUE"""),"Jl. Mangiweng, Kel. Kolakaasi, Kec. Latambaga")</f>
        <v>Jl. Mangiweng, Kel. Kolakaasi, Kec. Latambaga</v>
      </c>
      <c r="N763" s="8" t="s">
        <v>19</v>
      </c>
      <c r="R763" s="7" t="str">
        <f>IFERROR(__xludf.DUMMYFUNCTION("""COMPUTED_VALUE"""),"K")</f>
        <v>K</v>
      </c>
    </row>
    <row r="764" ht="22.5" customHeight="1">
      <c r="A764" s="6">
        <v>763.0</v>
      </c>
      <c r="B764" s="6" t="str">
        <f>IFERROR(__xludf.DUMMYFUNCTION("""COMPUTED_VALUE"""),"Pengelola Administrasi Perkantoran")</f>
        <v>Pengelola Administrasi Perkantoran</v>
      </c>
      <c r="C764" s="6" t="str">
        <f>IFERROR(__xludf.DUMMYFUNCTION("""COMPUTED_VALUE"""),"SMK Negeri 1 Kolaka")</f>
        <v>SMK Negeri 1 Kolaka</v>
      </c>
      <c r="F764" s="6" t="str">
        <f>IFERROR(__xludf.DUMMYFUNCTION("""COMPUTED_VALUE"""),"Monalisa")</f>
        <v>Monalisa</v>
      </c>
      <c r="G764" s="6" t="str">
        <f>IFERROR(__xludf.DUMMYFUNCTION("""COMPUTED_VALUE"""),"7401144606080001")</f>
        <v>7401144606080001</v>
      </c>
      <c r="J764" s="7" t="str">
        <f>IFERROR(__xludf.DUMMYFUNCTION("""COMPUTED_VALUE"""),"PEREMPUAN")</f>
        <v>PEREMPUAN</v>
      </c>
      <c r="K764" s="6" t="str">
        <f>IFERROR(__xludf.DUMMYFUNCTION("""COMPUTED_VALUE"""),"Jl. Sunu Ujung")</f>
        <v>Jl. Sunu Ujung</v>
      </c>
      <c r="N764" s="8" t="s">
        <v>19</v>
      </c>
      <c r="R764" s="7" t="str">
        <f>IFERROR(__xludf.DUMMYFUNCTION("""COMPUTED_VALUE"""),"K")</f>
        <v>K</v>
      </c>
    </row>
    <row r="765" ht="22.5" customHeight="1">
      <c r="A765" s="6">
        <v>764.0</v>
      </c>
      <c r="B765" s="6" t="str">
        <f>IFERROR(__xludf.DUMMYFUNCTION("""COMPUTED_VALUE"""),"Pengelola Administrasi Perkantoran")</f>
        <v>Pengelola Administrasi Perkantoran</v>
      </c>
      <c r="C765" s="6" t="str">
        <f>IFERROR(__xludf.DUMMYFUNCTION("""COMPUTED_VALUE"""),"SMK Negeri 1 Kolaka")</f>
        <v>SMK Negeri 1 Kolaka</v>
      </c>
      <c r="F765" s="6" t="str">
        <f>IFERROR(__xludf.DUMMYFUNCTION("""COMPUTED_VALUE"""),"Muh. Farel")</f>
        <v>Muh. Farel</v>
      </c>
      <c r="G765" s="6" t="str">
        <f>IFERROR(__xludf.DUMMYFUNCTION("""COMPUTED_VALUE"""),"7408072502080003")</f>
        <v>7408072502080003</v>
      </c>
      <c r="J765" s="7" t="str">
        <f>IFERROR(__xludf.DUMMYFUNCTION("""COMPUTED_VALUE"""),"LAKI-LAKI")</f>
        <v>LAKI-LAKI</v>
      </c>
      <c r="K765" s="6" t="str">
        <f>IFERROR(__xludf.DUMMYFUNCTION("""COMPUTED_VALUE"""),"Perumnas No. 8 Blok H")</f>
        <v>Perumnas No. 8 Blok H</v>
      </c>
      <c r="N765" s="8" t="s">
        <v>19</v>
      </c>
      <c r="R765" s="7" t="str">
        <f>IFERROR(__xludf.DUMMYFUNCTION("""COMPUTED_VALUE"""),"K")</f>
        <v>K</v>
      </c>
    </row>
    <row r="766" ht="22.5" customHeight="1">
      <c r="A766" s="6">
        <v>765.0</v>
      </c>
      <c r="B766" s="6" t="str">
        <f>IFERROR(__xludf.DUMMYFUNCTION("""COMPUTED_VALUE"""),"Pengelola Administrasi Perkantoran")</f>
        <v>Pengelola Administrasi Perkantoran</v>
      </c>
      <c r="C766" s="6" t="str">
        <f>IFERROR(__xludf.DUMMYFUNCTION("""COMPUTED_VALUE"""),"SMK Negeri 1 Kolaka")</f>
        <v>SMK Negeri 1 Kolaka</v>
      </c>
      <c r="F766" s="6" t="str">
        <f>IFERROR(__xludf.DUMMYFUNCTION("""COMPUTED_VALUE"""),"MUH. FIQRI")</f>
        <v>MUH. FIQRI</v>
      </c>
      <c r="G766" s="6" t="str">
        <f>IFERROR(__xludf.DUMMYFUNCTION("""COMPUTED_VALUE"""),"7401142507080001")</f>
        <v>7401142507080001</v>
      </c>
      <c r="J766" s="7" t="str">
        <f>IFERROR(__xludf.DUMMYFUNCTION("""COMPUTED_VALUE"""),"LAKI-LAKI")</f>
        <v>LAKI-LAKI</v>
      </c>
      <c r="K766" s="6" t="str">
        <f>IFERROR(__xludf.DUMMYFUNCTION("""COMPUTED_VALUE"""),"Jl. Cakalang")</f>
        <v>Jl. Cakalang</v>
      </c>
      <c r="N766" s="8" t="s">
        <v>19</v>
      </c>
      <c r="R766" s="7" t="str">
        <f>IFERROR(__xludf.DUMMYFUNCTION("""COMPUTED_VALUE"""),"K")</f>
        <v>K</v>
      </c>
    </row>
    <row r="767" ht="22.5" customHeight="1">
      <c r="A767" s="6">
        <v>766.0</v>
      </c>
      <c r="B767" s="6" t="str">
        <f>IFERROR(__xludf.DUMMYFUNCTION("""COMPUTED_VALUE"""),"Pengelola Administrasi Perkantoran")</f>
        <v>Pengelola Administrasi Perkantoran</v>
      </c>
      <c r="C767" s="6" t="str">
        <f>IFERROR(__xludf.DUMMYFUNCTION("""COMPUTED_VALUE"""),"SMK Negeri 1 Kolaka")</f>
        <v>SMK Negeri 1 Kolaka</v>
      </c>
      <c r="F767" s="6" t="str">
        <f>IFERROR(__xludf.DUMMYFUNCTION("""COMPUTED_VALUE"""),"MUH. IQSHAN")</f>
        <v>MUH. IQSHAN</v>
      </c>
      <c r="G767" s="6" t="str">
        <f>IFERROR(__xludf.DUMMYFUNCTION("""COMPUTED_VALUE"""),"7401010305080001")</f>
        <v>7401010305080001</v>
      </c>
      <c r="J767" s="7" t="str">
        <f>IFERROR(__xludf.DUMMYFUNCTION("""COMPUTED_VALUE"""),"LAKI-LAKI")</f>
        <v>LAKI-LAKI</v>
      </c>
      <c r="K767" s="6" t="str">
        <f>IFERROR(__xludf.DUMMYFUNCTION("""COMPUTED_VALUE"""),"Dusun IV Towua")</f>
        <v>Dusun IV Towua</v>
      </c>
      <c r="N767" s="8" t="s">
        <v>19</v>
      </c>
      <c r="R767" s="7" t="str">
        <f>IFERROR(__xludf.DUMMYFUNCTION("""COMPUTED_VALUE"""),"K")</f>
        <v>K</v>
      </c>
    </row>
    <row r="768" ht="22.5" customHeight="1">
      <c r="A768" s="6">
        <v>767.0</v>
      </c>
      <c r="B768" s="6" t="str">
        <f>IFERROR(__xludf.DUMMYFUNCTION("""COMPUTED_VALUE"""),"Pengelola Administrasi Perkantoran")</f>
        <v>Pengelola Administrasi Perkantoran</v>
      </c>
      <c r="C768" s="6" t="str">
        <f>IFERROR(__xludf.DUMMYFUNCTION("""COMPUTED_VALUE"""),"SMK Negeri 1 Kolaka")</f>
        <v>SMK Negeri 1 Kolaka</v>
      </c>
      <c r="F768" s="6" t="str">
        <f>IFERROR(__xludf.DUMMYFUNCTION("""COMPUTED_VALUE"""),"MUH. JEFRI MAULANA")</f>
        <v>MUH. JEFRI MAULANA</v>
      </c>
      <c r="G768" s="6" t="str">
        <f>IFERROR(__xludf.DUMMYFUNCTION("""COMPUTED_VALUE"""),"7401140110060001")</f>
        <v>7401140110060001</v>
      </c>
      <c r="J768" s="7" t="str">
        <f>IFERROR(__xludf.DUMMYFUNCTION("""COMPUTED_VALUE"""),"LAKI-LAKI")</f>
        <v>LAKI-LAKI</v>
      </c>
      <c r="K768" s="6" t="str">
        <f>IFERROR(__xludf.DUMMYFUNCTION("""COMPUTED_VALUE"""),"Kolakasi/Latambaga")</f>
        <v>Kolakasi/Latambaga</v>
      </c>
      <c r="N768" s="8" t="s">
        <v>19</v>
      </c>
      <c r="R768" s="7" t="str">
        <f>IFERROR(__xludf.DUMMYFUNCTION("""COMPUTED_VALUE"""),"K")</f>
        <v>K</v>
      </c>
    </row>
    <row r="769" ht="22.5" customHeight="1">
      <c r="A769" s="6">
        <v>768.0</v>
      </c>
      <c r="B769" s="6" t="str">
        <f>IFERROR(__xludf.DUMMYFUNCTION("""COMPUTED_VALUE"""),"Pengelola Administrasi Perkantoran")</f>
        <v>Pengelola Administrasi Perkantoran</v>
      </c>
      <c r="C769" s="6" t="str">
        <f>IFERROR(__xludf.DUMMYFUNCTION("""COMPUTED_VALUE"""),"SMK Negeri 1 Kolaka")</f>
        <v>SMK Negeri 1 Kolaka</v>
      </c>
      <c r="F769" s="6" t="str">
        <f>IFERROR(__xludf.DUMMYFUNCTION("""COMPUTED_VALUE"""),"MUH. NUR RAHMAT")</f>
        <v>MUH. NUR RAHMAT</v>
      </c>
      <c r="G769" s="6" t="str">
        <f>IFERROR(__xludf.DUMMYFUNCTION("""COMPUTED_VALUE"""),"7401140604080001")</f>
        <v>7401140604080001</v>
      </c>
      <c r="J769" s="7" t="str">
        <f>IFERROR(__xludf.DUMMYFUNCTION("""COMPUTED_VALUE"""),"LAKI-LAKI")</f>
        <v>LAKI-LAKI</v>
      </c>
      <c r="K769" s="6" t="str">
        <f>IFERROR(__xludf.DUMMYFUNCTION("""COMPUTED_VALUE"""),"Ulunggolaka")</f>
        <v>Ulunggolaka</v>
      </c>
      <c r="N769" s="8" t="s">
        <v>19</v>
      </c>
      <c r="R769" s="7" t="str">
        <f>IFERROR(__xludf.DUMMYFUNCTION("""COMPUTED_VALUE"""),"K")</f>
        <v>K</v>
      </c>
    </row>
    <row r="770" ht="22.5" customHeight="1">
      <c r="A770" s="6">
        <v>769.0</v>
      </c>
      <c r="B770" s="6" t="str">
        <f>IFERROR(__xludf.DUMMYFUNCTION("""COMPUTED_VALUE"""),"Pengelola Administrasi Perkantoran")</f>
        <v>Pengelola Administrasi Perkantoran</v>
      </c>
      <c r="C770" s="6" t="str">
        <f>IFERROR(__xludf.DUMMYFUNCTION("""COMPUTED_VALUE"""),"SMK Negeri 1 Kolaka")</f>
        <v>SMK Negeri 1 Kolaka</v>
      </c>
      <c r="F770" s="6" t="str">
        <f>IFERROR(__xludf.DUMMYFUNCTION("""COMPUTED_VALUE"""),"MUH. REKAFID SULTRA")</f>
        <v>MUH. REKAFID SULTRA</v>
      </c>
      <c r="G770" s="6" t="str">
        <f>IFERROR(__xludf.DUMMYFUNCTION("""COMPUTED_VALUE"""),"7401042004080001")</f>
        <v>7401042004080001</v>
      </c>
      <c r="J770" s="7" t="str">
        <f>IFERROR(__xludf.DUMMYFUNCTION("""COMPUTED_VALUE"""),"LAKI-LAKI")</f>
        <v>LAKI-LAKI</v>
      </c>
      <c r="K770" s="6" t="str">
        <f>IFERROR(__xludf.DUMMYFUNCTION("""COMPUTED_VALUE"""),"Jl. Sultan Hasanuddin No. 19")</f>
        <v>Jl. Sultan Hasanuddin No. 19</v>
      </c>
      <c r="N770" s="8" t="s">
        <v>19</v>
      </c>
      <c r="R770" s="7" t="str">
        <f>IFERROR(__xludf.DUMMYFUNCTION("""COMPUTED_VALUE"""),"K")</f>
        <v>K</v>
      </c>
    </row>
    <row r="771" ht="22.5" customHeight="1">
      <c r="A771" s="6">
        <v>770.0</v>
      </c>
      <c r="B771" s="6" t="str">
        <f>IFERROR(__xludf.DUMMYFUNCTION("""COMPUTED_VALUE"""),"Pengelola Administrasi Perkantoran")</f>
        <v>Pengelola Administrasi Perkantoran</v>
      </c>
      <c r="C771" s="6" t="str">
        <f>IFERROR(__xludf.DUMMYFUNCTION("""COMPUTED_VALUE"""),"SMK Negeri 1 Kolaka")</f>
        <v>SMK Negeri 1 Kolaka</v>
      </c>
      <c r="F771" s="6" t="str">
        <f>IFERROR(__xludf.DUMMYFUNCTION("""COMPUTED_VALUE"""),"MUH. RESKY ALSYAH PUTRA")</f>
        <v>MUH. RESKY ALSYAH PUTRA</v>
      </c>
      <c r="G771" s="6" t="str">
        <f>IFERROR(__xludf.DUMMYFUNCTION("""COMPUTED_VALUE"""),"7401010406080002")</f>
        <v>7401010406080002</v>
      </c>
      <c r="J771" s="7" t="str">
        <f>IFERROR(__xludf.DUMMYFUNCTION("""COMPUTED_VALUE"""),"LAKI-LAKI")</f>
        <v>LAKI-LAKI</v>
      </c>
      <c r="K771" s="6" t="str">
        <f>IFERROR(__xludf.DUMMYFUNCTION("""COMPUTED_VALUE"""),"Wundulako")</f>
        <v>Wundulako</v>
      </c>
      <c r="N771" s="8" t="s">
        <v>19</v>
      </c>
      <c r="R771" s="7" t="str">
        <f>IFERROR(__xludf.DUMMYFUNCTION("""COMPUTED_VALUE"""),"K")</f>
        <v>K</v>
      </c>
    </row>
    <row r="772" ht="22.5" customHeight="1">
      <c r="A772" s="6">
        <v>771.0</v>
      </c>
      <c r="B772" s="6" t="str">
        <f>IFERROR(__xludf.DUMMYFUNCTION("""COMPUTED_VALUE"""),"Pengelola Administrasi Perkantoran")</f>
        <v>Pengelola Administrasi Perkantoran</v>
      </c>
      <c r="C772" s="6" t="str">
        <f>IFERROR(__xludf.DUMMYFUNCTION("""COMPUTED_VALUE"""),"SMK Negeri 1 Kolaka")</f>
        <v>SMK Negeri 1 Kolaka</v>
      </c>
      <c r="F772" s="6" t="str">
        <f>IFERROR(__xludf.DUMMYFUNCTION("""COMPUTED_VALUE"""),"nandayani")</f>
        <v>nandayani</v>
      </c>
      <c r="G772" s="6" t="str">
        <f>IFERROR(__xludf.DUMMYFUNCTION("""COMPUTED_VALUE"""),"7401045604080002")</f>
        <v>7401045604080002</v>
      </c>
      <c r="J772" s="7" t="str">
        <f>IFERROR(__xludf.DUMMYFUNCTION("""COMPUTED_VALUE"""),"PEREMPUAN")</f>
        <v>PEREMPUAN</v>
      </c>
      <c r="K772" s="6" t="str">
        <f>IFERROR(__xludf.DUMMYFUNCTION("""COMPUTED_VALUE"""),"Jl. Cendrawasih")</f>
        <v>Jl. Cendrawasih</v>
      </c>
      <c r="N772" s="8" t="s">
        <v>19</v>
      </c>
      <c r="R772" s="7" t="str">
        <f>IFERROR(__xludf.DUMMYFUNCTION("""COMPUTED_VALUE"""),"K")</f>
        <v>K</v>
      </c>
    </row>
    <row r="773" ht="22.5" customHeight="1">
      <c r="A773" s="6">
        <v>772.0</v>
      </c>
      <c r="B773" s="6" t="str">
        <f>IFERROR(__xludf.DUMMYFUNCTION("""COMPUTED_VALUE"""),"Pengelola Administrasi Perkantoran")</f>
        <v>Pengelola Administrasi Perkantoran</v>
      </c>
      <c r="C773" s="6" t="str">
        <f>IFERROR(__xludf.DUMMYFUNCTION("""COMPUTED_VALUE"""),"SMK Negeri 1 Kolaka")</f>
        <v>SMK Negeri 1 Kolaka</v>
      </c>
      <c r="F773" s="6" t="str">
        <f>IFERROR(__xludf.DUMMYFUNCTION("""COMPUTED_VALUE"""),"PUTRI NIARAMADANI")</f>
        <v>PUTRI NIARAMADANI</v>
      </c>
      <c r="G773" s="6" t="str">
        <f>IFERROR(__xludf.DUMMYFUNCTION("""COMPUTED_VALUE"""),"7401206706080002")</f>
        <v>7401206706080002</v>
      </c>
      <c r="J773" s="7" t="str">
        <f>IFERROR(__xludf.DUMMYFUNCTION("""COMPUTED_VALUE"""),"PEREMPUAN")</f>
        <v>PEREMPUAN</v>
      </c>
      <c r="K773" s="6" t="str">
        <f>IFERROR(__xludf.DUMMYFUNCTION("""COMPUTED_VALUE"""),"Dusun I Liku")</f>
        <v>Dusun I Liku</v>
      </c>
      <c r="N773" s="8" t="s">
        <v>19</v>
      </c>
      <c r="R773" s="7" t="str">
        <f>IFERROR(__xludf.DUMMYFUNCTION("""COMPUTED_VALUE"""),"K")</f>
        <v>K</v>
      </c>
    </row>
    <row r="774" ht="22.5" customHeight="1">
      <c r="A774" s="6">
        <v>773.0</v>
      </c>
      <c r="B774" s="6" t="str">
        <f>IFERROR(__xludf.DUMMYFUNCTION("""COMPUTED_VALUE"""),"Pengelola Administrasi Perkantoran")</f>
        <v>Pengelola Administrasi Perkantoran</v>
      </c>
      <c r="C774" s="6" t="str">
        <f>IFERROR(__xludf.DUMMYFUNCTION("""COMPUTED_VALUE"""),"SMK Negeri 1 Kolaka")</f>
        <v>SMK Negeri 1 Kolaka</v>
      </c>
      <c r="F774" s="6" t="str">
        <f>IFERROR(__xludf.DUMMYFUNCTION("""COMPUTED_VALUE"""),"RANGGA SAPUTRA")</f>
        <v>RANGGA SAPUTRA</v>
      </c>
      <c r="G774" s="6" t="str">
        <f>IFERROR(__xludf.DUMMYFUNCTION("""COMPUTED_VALUE"""),"7401102210080001")</f>
        <v>7401102210080001</v>
      </c>
      <c r="J774" s="7" t="str">
        <f>IFERROR(__xludf.DUMMYFUNCTION("""COMPUTED_VALUE"""),"LAKI-LAKI")</f>
        <v>LAKI-LAKI</v>
      </c>
      <c r="K774" s="6" t="str">
        <f>IFERROR(__xludf.DUMMYFUNCTION("""COMPUTED_VALUE"""),"Jl. Permata Biru")</f>
        <v>Jl. Permata Biru</v>
      </c>
      <c r="N774" s="8" t="s">
        <v>19</v>
      </c>
      <c r="R774" s="7" t="str">
        <f>IFERROR(__xludf.DUMMYFUNCTION("""COMPUTED_VALUE"""),"K")</f>
        <v>K</v>
      </c>
    </row>
    <row r="775" ht="22.5" customHeight="1">
      <c r="A775" s="6">
        <v>774.0</v>
      </c>
      <c r="B775" s="6" t="str">
        <f>IFERROR(__xludf.DUMMYFUNCTION("""COMPUTED_VALUE"""),"Pengelola Administrasi Perkantoran")</f>
        <v>Pengelola Administrasi Perkantoran</v>
      </c>
      <c r="C775" s="6" t="str">
        <f>IFERROR(__xludf.DUMMYFUNCTION("""COMPUTED_VALUE"""),"SMK Negeri 1 Kolaka")</f>
        <v>SMK Negeri 1 Kolaka</v>
      </c>
      <c r="F775" s="6" t="str">
        <f>IFERROR(__xludf.DUMMYFUNCTION("""COMPUTED_VALUE"""),"Rasti Ayu Ningsi")</f>
        <v>Rasti Ayu Ningsi</v>
      </c>
      <c r="G775" s="6" t="str">
        <f>IFERROR(__xludf.DUMMYFUNCTION("""COMPUTED_VALUE"""),"7401146910080001")</f>
        <v>7401146910080001</v>
      </c>
      <c r="J775" s="7" t="str">
        <f>IFERROR(__xludf.DUMMYFUNCTION("""COMPUTED_VALUE"""),"PEREMPUAN")</f>
        <v>PEREMPUAN</v>
      </c>
      <c r="K775" s="6" t="str">
        <f>IFERROR(__xludf.DUMMYFUNCTION("""COMPUTED_VALUE"""),"Jl. Durian")</f>
        <v>Jl. Durian</v>
      </c>
      <c r="N775" s="8" t="s">
        <v>19</v>
      </c>
      <c r="R775" s="7" t="str">
        <f>IFERROR(__xludf.DUMMYFUNCTION("""COMPUTED_VALUE"""),"K")</f>
        <v>K</v>
      </c>
    </row>
    <row r="776" ht="22.5" customHeight="1">
      <c r="A776" s="6">
        <v>775.0</v>
      </c>
      <c r="B776" s="6" t="str">
        <f>IFERROR(__xludf.DUMMYFUNCTION("""COMPUTED_VALUE"""),"Pengelola Administrasi Perkantoran")</f>
        <v>Pengelola Administrasi Perkantoran</v>
      </c>
      <c r="C776" s="6" t="str">
        <f>IFERROR(__xludf.DUMMYFUNCTION("""COMPUTED_VALUE"""),"SMK Negeri 1 Kolaka")</f>
        <v>SMK Negeri 1 Kolaka</v>
      </c>
      <c r="F776" s="6" t="str">
        <f>IFERROR(__xludf.DUMMYFUNCTION("""COMPUTED_VALUE"""),"REGINA PUTRI")</f>
        <v>REGINA PUTRI</v>
      </c>
      <c r="G776" s="6" t="str">
        <f>IFERROR(__xludf.DUMMYFUNCTION("""COMPUTED_VALUE"""),"7401045107080002")</f>
        <v>7401045107080002</v>
      </c>
      <c r="J776" s="7" t="str">
        <f>IFERROR(__xludf.DUMMYFUNCTION("""COMPUTED_VALUE"""),"PEREMPUAN")</f>
        <v>PEREMPUAN</v>
      </c>
      <c r="K776" s="6"/>
      <c r="N776" s="8" t="s">
        <v>19</v>
      </c>
      <c r="R776" s="7" t="str">
        <f>IFERROR(__xludf.DUMMYFUNCTION("""COMPUTED_VALUE"""),"K")</f>
        <v>K</v>
      </c>
    </row>
    <row r="777" ht="22.5" customHeight="1">
      <c r="A777" s="6">
        <v>776.0</v>
      </c>
      <c r="B777" s="6" t="str">
        <f>IFERROR(__xludf.DUMMYFUNCTION("""COMPUTED_VALUE"""),"Pengelola Administrasi Perkantoran")</f>
        <v>Pengelola Administrasi Perkantoran</v>
      </c>
      <c r="C777" s="6" t="str">
        <f>IFERROR(__xludf.DUMMYFUNCTION("""COMPUTED_VALUE"""),"SMK Negeri 1 Kolaka")</f>
        <v>SMK Negeri 1 Kolaka</v>
      </c>
      <c r="F777" s="6" t="str">
        <f>IFERROR(__xludf.DUMMYFUNCTION("""COMPUTED_VALUE"""),"Riski Nurul hikma")</f>
        <v>Riski Nurul hikma</v>
      </c>
      <c r="G777" s="6" t="str">
        <f>IFERROR(__xludf.DUMMYFUNCTION("""COMPUTED_VALUE"""),"7401146607080001")</f>
        <v>7401146607080001</v>
      </c>
      <c r="J777" s="7" t="str">
        <f>IFERROR(__xludf.DUMMYFUNCTION("""COMPUTED_VALUE"""),"PEREMPUAN")</f>
        <v>PEREMPUAN</v>
      </c>
      <c r="K777" s="6" t="str">
        <f>IFERROR(__xludf.DUMMYFUNCTION("""COMPUTED_VALUE"""),"Jl. Durian")</f>
        <v>Jl. Durian</v>
      </c>
      <c r="N777" s="8" t="s">
        <v>19</v>
      </c>
      <c r="R777" s="7" t="str">
        <f>IFERROR(__xludf.DUMMYFUNCTION("""COMPUTED_VALUE"""),"K")</f>
        <v>K</v>
      </c>
    </row>
    <row r="778" ht="22.5" customHeight="1">
      <c r="A778" s="6">
        <v>777.0</v>
      </c>
      <c r="B778" s="6" t="str">
        <f>IFERROR(__xludf.DUMMYFUNCTION("""COMPUTED_VALUE"""),"Pengelola Administrasi Perkantoran")</f>
        <v>Pengelola Administrasi Perkantoran</v>
      </c>
      <c r="C778" s="6" t="str">
        <f>IFERROR(__xludf.DUMMYFUNCTION("""COMPUTED_VALUE"""),"SMK Negeri 1 Kolaka")</f>
        <v>SMK Negeri 1 Kolaka</v>
      </c>
      <c r="F778" s="6" t="str">
        <f>IFERROR(__xludf.DUMMYFUNCTION("""COMPUTED_VALUE"""),"Salsa Indah Kirana")</f>
        <v>Salsa Indah Kirana</v>
      </c>
      <c r="G778" s="6" t="str">
        <f>IFERROR(__xludf.DUMMYFUNCTION("""COMPUTED_VALUE"""),"6401056004080001")</f>
        <v>6401056004080001</v>
      </c>
      <c r="J778" s="7" t="str">
        <f>IFERROR(__xludf.DUMMYFUNCTION("""COMPUTED_VALUE"""),"PEREMPUAN")</f>
        <v>PEREMPUAN</v>
      </c>
      <c r="K778" s="6" t="str">
        <f>IFERROR(__xludf.DUMMYFUNCTION("""COMPUTED_VALUE"""),"Jl. Bolu")</f>
        <v>Jl. Bolu</v>
      </c>
      <c r="N778" s="8" t="s">
        <v>19</v>
      </c>
      <c r="R778" s="7" t="str">
        <f>IFERROR(__xludf.DUMMYFUNCTION("""COMPUTED_VALUE"""),"K")</f>
        <v>K</v>
      </c>
    </row>
    <row r="779" ht="22.5" customHeight="1">
      <c r="A779" s="6">
        <v>778.0</v>
      </c>
      <c r="B779" s="6" t="str">
        <f>IFERROR(__xludf.DUMMYFUNCTION("""COMPUTED_VALUE"""),"Pengelola Administrasi Perkantoran")</f>
        <v>Pengelola Administrasi Perkantoran</v>
      </c>
      <c r="C779" s="6" t="str">
        <f>IFERROR(__xludf.DUMMYFUNCTION("""COMPUTED_VALUE"""),"SMK Negeri 1 Kolaka")</f>
        <v>SMK Negeri 1 Kolaka</v>
      </c>
      <c r="F779" s="6" t="str">
        <f>IFERROR(__xludf.DUMMYFUNCTION("""COMPUTED_VALUE"""),"SELVIA APRILIA NINGSIH")</f>
        <v>SELVIA APRILIA NINGSIH</v>
      </c>
      <c r="G779" s="6" t="str">
        <f>IFERROR(__xludf.DUMMYFUNCTION("""COMPUTED_VALUE"""),"7401046802080002")</f>
        <v>7401046802080002</v>
      </c>
      <c r="J779" s="7" t="str">
        <f>IFERROR(__xludf.DUMMYFUNCTION("""COMPUTED_VALUE"""),"PEREMPUAN")</f>
        <v>PEREMPUAN</v>
      </c>
      <c r="K779" s="6" t="str">
        <f>IFERROR(__xludf.DUMMYFUNCTION("""COMPUTED_VALUE"""),"Jl. Badewi")</f>
        <v>Jl. Badewi</v>
      </c>
      <c r="N779" s="8" t="s">
        <v>19</v>
      </c>
      <c r="R779" s="7" t="str">
        <f>IFERROR(__xludf.DUMMYFUNCTION("""COMPUTED_VALUE"""),"K")</f>
        <v>K</v>
      </c>
    </row>
    <row r="780" ht="22.5" customHeight="1">
      <c r="A780" s="6">
        <v>779.0</v>
      </c>
      <c r="B780" s="6" t="str">
        <f>IFERROR(__xludf.DUMMYFUNCTION("""COMPUTED_VALUE"""),"Pengelola Administrasi Perkantoran")</f>
        <v>Pengelola Administrasi Perkantoran</v>
      </c>
      <c r="C780" s="6" t="str">
        <f>IFERROR(__xludf.DUMMYFUNCTION("""COMPUTED_VALUE"""),"SMK Negeri 1 Kolaka")</f>
        <v>SMK Negeri 1 Kolaka</v>
      </c>
      <c r="F780" s="6" t="str">
        <f>IFERROR(__xludf.DUMMYFUNCTION("""COMPUTED_VALUE"""),"SITI FATIMA AZYARA")</f>
        <v>SITI FATIMA AZYARA</v>
      </c>
      <c r="G780" s="6" t="str">
        <f>IFERROR(__xludf.DUMMYFUNCTION("""COMPUTED_VALUE"""),"7401014505080001")</f>
        <v>7401014505080001</v>
      </c>
      <c r="J780" s="7" t="str">
        <f>IFERROR(__xludf.DUMMYFUNCTION("""COMPUTED_VALUE"""),"PEREMPUAN")</f>
        <v>PEREMPUAN</v>
      </c>
      <c r="K780" s="6" t="str">
        <f>IFERROR(__xludf.DUMMYFUNCTION("""COMPUTED_VALUE"""),"Wundulako")</f>
        <v>Wundulako</v>
      </c>
      <c r="N780" s="8" t="s">
        <v>19</v>
      </c>
      <c r="R780" s="7" t="str">
        <f>IFERROR(__xludf.DUMMYFUNCTION("""COMPUTED_VALUE"""),"K")</f>
        <v>K</v>
      </c>
    </row>
    <row r="781" ht="22.5" customHeight="1">
      <c r="A781" s="6">
        <v>780.0</v>
      </c>
      <c r="B781" s="6" t="str">
        <f>IFERROR(__xludf.DUMMYFUNCTION("""COMPUTED_VALUE"""),"Pengelola Administrasi Perkantoran")</f>
        <v>Pengelola Administrasi Perkantoran</v>
      </c>
      <c r="C781" s="6" t="str">
        <f>IFERROR(__xludf.DUMMYFUNCTION("""COMPUTED_VALUE"""),"SMK Negeri 1 Kolaka")</f>
        <v>SMK Negeri 1 Kolaka</v>
      </c>
      <c r="F781" s="6" t="str">
        <f>IFERROR(__xludf.DUMMYFUNCTION("""COMPUTED_VALUE"""),"Wahyu Amir")</f>
        <v>Wahyu Amir</v>
      </c>
      <c r="G781" s="6" t="str">
        <f>IFERROR(__xludf.DUMMYFUNCTION("""COMPUTED_VALUE"""),"7401140107080001")</f>
        <v>7401140107080001</v>
      </c>
      <c r="J781" s="7" t="str">
        <f>IFERROR(__xludf.DUMMYFUNCTION("""COMPUTED_VALUE"""),"LAKI-LAKI")</f>
        <v>LAKI-LAKI</v>
      </c>
      <c r="K781" s="6" t="str">
        <f>IFERROR(__xludf.DUMMYFUNCTION("""COMPUTED_VALUE"""),"j")</f>
        <v>j</v>
      </c>
      <c r="N781" s="8" t="s">
        <v>19</v>
      </c>
      <c r="R781" s="7" t="str">
        <f>IFERROR(__xludf.DUMMYFUNCTION("""COMPUTED_VALUE"""),"K")</f>
        <v>K</v>
      </c>
    </row>
    <row r="782" ht="22.5" customHeight="1">
      <c r="A782" s="6">
        <v>781.0</v>
      </c>
      <c r="B782" s="6" t="str">
        <f>IFERROR(__xludf.DUMMYFUNCTION("""COMPUTED_VALUE"""),"Menjahit Pakaian Wanita Dewasa")</f>
        <v>Menjahit Pakaian Wanita Dewasa</v>
      </c>
      <c r="C782" s="6" t="str">
        <f>IFERROR(__xludf.DUMMYFUNCTION("""COMPUTED_VALUE"""),"SMK Negeri 3 Kendari")</f>
        <v>SMK Negeri 3 Kendari</v>
      </c>
      <c r="F782" s="6" t="str">
        <f>IFERROR(__xludf.DUMMYFUNCTION("""COMPUTED_VALUE"""),"Khumaira")</f>
        <v>Khumaira</v>
      </c>
      <c r="G782" s="6" t="str">
        <f>IFERROR(__xludf.DUMMYFUNCTION("""COMPUTED_VALUE"""),"7407016208080003")</f>
        <v>7407016208080003</v>
      </c>
      <c r="J782" s="7" t="str">
        <f>IFERROR(__xludf.DUMMYFUNCTION("""COMPUTED_VALUE"""),"PEREMPUAN")</f>
        <v>PEREMPUAN</v>
      </c>
      <c r="K782" s="6" t="str">
        <f>IFERROR(__xludf.DUMMYFUNCTION("""COMPUTED_VALUE"""),"Kec. Wua-wua, Anawai")</f>
        <v>Kec. Wua-wua, Anawai</v>
      </c>
      <c r="N782" s="8" t="s">
        <v>19</v>
      </c>
      <c r="R782" s="7" t="str">
        <f>IFERROR(__xludf.DUMMYFUNCTION("""COMPUTED_VALUE"""),"K")</f>
        <v>K</v>
      </c>
    </row>
    <row r="783" ht="22.5" customHeight="1">
      <c r="A783" s="6">
        <v>782.0</v>
      </c>
      <c r="B783" s="6" t="str">
        <f>IFERROR(__xludf.DUMMYFUNCTION("""COMPUTED_VALUE"""),"Menjahit Pakaian Wanita Dewasa")</f>
        <v>Menjahit Pakaian Wanita Dewasa</v>
      </c>
      <c r="C783" s="6" t="str">
        <f>IFERROR(__xludf.DUMMYFUNCTION("""COMPUTED_VALUE"""),"SMK Negeri 3 Kendari")</f>
        <v>SMK Negeri 3 Kendari</v>
      </c>
      <c r="F783" s="6" t="str">
        <f>IFERROR(__xludf.DUMMYFUNCTION("""COMPUTED_VALUE"""),"Zahrattul Jannah")</f>
        <v>Zahrattul Jannah</v>
      </c>
      <c r="G783" s="6" t="str">
        <f>IFERROR(__xludf.DUMMYFUNCTION("""COMPUTED_VALUE"""),"7471084703080001")</f>
        <v>7471084703080001</v>
      </c>
      <c r="J783" s="7" t="str">
        <f>IFERROR(__xludf.DUMMYFUNCTION("""COMPUTED_VALUE"""),"PEREMPUAN")</f>
        <v>PEREMPUAN</v>
      </c>
      <c r="K783" s="6" t="str">
        <f>IFERROR(__xludf.DUMMYFUNCTION("""COMPUTED_VALUE"""),"Jln. Chairil Anwar, Lrg. Tanah Air")</f>
        <v>Jln. Chairil Anwar, Lrg. Tanah Air</v>
      </c>
      <c r="N783" s="8" t="s">
        <v>19</v>
      </c>
      <c r="R783" s="7" t="str">
        <f>IFERROR(__xludf.DUMMYFUNCTION("""COMPUTED_VALUE"""),"K")</f>
        <v>K</v>
      </c>
    </row>
    <row r="784" ht="22.5" customHeight="1">
      <c r="A784" s="6">
        <v>783.0</v>
      </c>
      <c r="B784" s="6" t="str">
        <f>IFERROR(__xludf.DUMMYFUNCTION("""COMPUTED_VALUE"""),"Menjahit Pakaian Wanita Dewasa")</f>
        <v>Menjahit Pakaian Wanita Dewasa</v>
      </c>
      <c r="C784" s="6" t="str">
        <f>IFERROR(__xludf.DUMMYFUNCTION("""COMPUTED_VALUE"""),"SMK Negeri 3 Kendari")</f>
        <v>SMK Negeri 3 Kendari</v>
      </c>
      <c r="F784" s="6" t="str">
        <f>IFERROR(__xludf.DUMMYFUNCTION("""COMPUTED_VALUE"""),"SITI KHADIJAH")</f>
        <v>SITI KHADIJAH</v>
      </c>
      <c r="G784" s="6" t="str">
        <f>IFERROR(__xludf.DUMMYFUNCTION("""COMPUTED_VALUE"""),"7471045801090001")</f>
        <v>7471045801090001</v>
      </c>
      <c r="J784" s="7" t="str">
        <f>IFERROR(__xludf.DUMMYFUNCTION("""COMPUTED_VALUE"""),"PEREMPUAN")</f>
        <v>PEREMPUAN</v>
      </c>
      <c r="K784" s="6" t="str">
        <f>IFERROR(__xludf.DUMMYFUNCTION("""COMPUTED_VALUE"""),"BTN Graha Aksa Mandiri Blok D No. 9")</f>
        <v>BTN Graha Aksa Mandiri Blok D No. 9</v>
      </c>
      <c r="N784" s="8" t="s">
        <v>19</v>
      </c>
      <c r="R784" s="7" t="str">
        <f>IFERROR(__xludf.DUMMYFUNCTION("""COMPUTED_VALUE"""),"K")</f>
        <v>K</v>
      </c>
    </row>
    <row r="785" ht="22.5" customHeight="1">
      <c r="A785" s="6">
        <v>784.0</v>
      </c>
      <c r="B785" s="6" t="str">
        <f>IFERROR(__xludf.DUMMYFUNCTION("""COMPUTED_VALUE"""),"Menjahit Pakaian Wanita Dewasa")</f>
        <v>Menjahit Pakaian Wanita Dewasa</v>
      </c>
      <c r="C785" s="6" t="str">
        <f>IFERROR(__xludf.DUMMYFUNCTION("""COMPUTED_VALUE"""),"SMK Negeri 3 Kendari")</f>
        <v>SMK Negeri 3 Kendari</v>
      </c>
      <c r="F785" s="6" t="str">
        <f>IFERROR(__xludf.DUMMYFUNCTION("""COMPUTED_VALUE"""),"SITI NURUL SHAFIRA")</f>
        <v>SITI NURUL SHAFIRA</v>
      </c>
      <c r="G785" s="6" t="str">
        <f>IFERROR(__xludf.DUMMYFUNCTION("""COMPUTED_VALUE"""),"7471085901080001")</f>
        <v>7471085901080001</v>
      </c>
      <c r="J785" s="7" t="str">
        <f>IFERROR(__xludf.DUMMYFUNCTION("""COMPUTED_VALUE"""),"PEREMPUAN")</f>
        <v>PEREMPUAN</v>
      </c>
      <c r="K785" s="6" t="str">
        <f>IFERROR(__xludf.DUMMYFUNCTION("""COMPUTED_VALUE"""),"Jl. Lumba-lumba, Lr. Lajang")</f>
        <v>Jl. Lumba-lumba, Lr. Lajang</v>
      </c>
      <c r="N785" s="8" t="s">
        <v>19</v>
      </c>
      <c r="R785" s="7" t="str">
        <f>IFERROR(__xludf.DUMMYFUNCTION("""COMPUTED_VALUE"""),"K")</f>
        <v>K</v>
      </c>
    </row>
    <row r="786" ht="22.5" customHeight="1">
      <c r="A786" s="6">
        <v>785.0</v>
      </c>
      <c r="B786" s="6" t="str">
        <f>IFERROR(__xludf.DUMMYFUNCTION("""COMPUTED_VALUE"""),"Menjahit Pakaian Wanita Dewasa")</f>
        <v>Menjahit Pakaian Wanita Dewasa</v>
      </c>
      <c r="C786" s="6" t="str">
        <f>IFERROR(__xludf.DUMMYFUNCTION("""COMPUTED_VALUE"""),"SMK Negeri 3 Kendari")</f>
        <v>SMK Negeri 3 Kendari</v>
      </c>
      <c r="F786" s="6" t="str">
        <f>IFERROR(__xludf.DUMMYFUNCTION("""COMPUTED_VALUE"""),"PUTRI AYU LESTARI")</f>
        <v>PUTRI AYU LESTARI</v>
      </c>
      <c r="G786" s="6" t="str">
        <f>IFERROR(__xludf.DUMMYFUNCTION("""COMPUTED_VALUE"""),"7471044408070002")</f>
        <v>7471044408070002</v>
      </c>
      <c r="J786" s="7" t="str">
        <f>IFERROR(__xludf.DUMMYFUNCTION("""COMPUTED_VALUE"""),"PEREMPUAN")</f>
        <v>PEREMPUAN</v>
      </c>
      <c r="K786" s="6" t="str">
        <f>IFERROR(__xludf.DUMMYFUNCTION("""COMPUTED_VALUE"""),"Jln, Ruruhi, Lrg. Saramnase")</f>
        <v>Jln, Ruruhi, Lrg. Saramnase</v>
      </c>
      <c r="N786" s="8" t="s">
        <v>19</v>
      </c>
      <c r="R786" s="7" t="str">
        <f>IFERROR(__xludf.DUMMYFUNCTION("""COMPUTED_VALUE"""),"K")</f>
        <v>K</v>
      </c>
    </row>
    <row r="787" ht="22.5" customHeight="1">
      <c r="A787" s="6">
        <v>786.0</v>
      </c>
      <c r="B787" s="6" t="str">
        <f>IFERROR(__xludf.DUMMYFUNCTION("""COMPUTED_VALUE"""),"Menjahit Pakaian Wanita Dewasa")</f>
        <v>Menjahit Pakaian Wanita Dewasa</v>
      </c>
      <c r="C787" s="6" t="str">
        <f>IFERROR(__xludf.DUMMYFUNCTION("""COMPUTED_VALUE"""),"SMK Negeri 3 Kendari")</f>
        <v>SMK Negeri 3 Kendari</v>
      </c>
      <c r="F787" s="6" t="str">
        <f>IFERROR(__xludf.DUMMYFUNCTION("""COMPUTED_VALUE"""),"SAFIRA RAHMAYANTI")</f>
        <v>SAFIRA RAHMAYANTI</v>
      </c>
      <c r="G787" s="6" t="str">
        <f>IFERROR(__xludf.DUMMYFUNCTION("""COMPUTED_VALUE"""),"7471096310080001")</f>
        <v>7471096310080001</v>
      </c>
      <c r="J787" s="7" t="str">
        <f>IFERROR(__xludf.DUMMYFUNCTION("""COMPUTED_VALUE"""),"PEREMPUAN")</f>
        <v>PEREMPUAN</v>
      </c>
      <c r="K787" s="6" t="str">
        <f>IFERROR(__xludf.DUMMYFUNCTION("""COMPUTED_VALUE"""),"Jl. Laode Hadi By Pass")</f>
        <v>Jl. Laode Hadi By Pass</v>
      </c>
      <c r="N787" s="8" t="s">
        <v>19</v>
      </c>
      <c r="R787" s="7" t="str">
        <f>IFERROR(__xludf.DUMMYFUNCTION("""COMPUTED_VALUE"""),"K")</f>
        <v>K</v>
      </c>
    </row>
    <row r="788" ht="22.5" customHeight="1">
      <c r="A788" s="6">
        <v>787.0</v>
      </c>
      <c r="B788" s="6" t="str">
        <f>IFERROR(__xludf.DUMMYFUNCTION("""COMPUTED_VALUE"""),"Menjahit Pakaian Wanita Dewasa")</f>
        <v>Menjahit Pakaian Wanita Dewasa</v>
      </c>
      <c r="C788" s="6" t="str">
        <f>IFERROR(__xludf.DUMMYFUNCTION("""COMPUTED_VALUE"""),"SMK Negeri 3 Kendari")</f>
        <v>SMK Negeri 3 Kendari</v>
      </c>
      <c r="F788" s="6" t="str">
        <f>IFERROR(__xludf.DUMMYFUNCTION("""COMPUTED_VALUE"""),"TATA BUANA")</f>
        <v>TATA BUANA</v>
      </c>
      <c r="G788" s="6" t="str">
        <f>IFERROR(__xludf.DUMMYFUNCTION("""COMPUTED_VALUE"""),"7471073004080001")</f>
        <v>7471073004080001</v>
      </c>
      <c r="J788" s="7" t="str">
        <f>IFERROR(__xludf.DUMMYFUNCTION("""COMPUTED_VALUE"""),"LAKI-LAKI")</f>
        <v>LAKI-LAKI</v>
      </c>
      <c r="K788" s="6" t="str">
        <f>IFERROR(__xludf.DUMMYFUNCTION("""COMPUTED_VALUE"""),"Jl. Chairil Anwar")</f>
        <v>Jl. Chairil Anwar</v>
      </c>
      <c r="N788" s="8" t="s">
        <v>19</v>
      </c>
      <c r="R788" s="7" t="str">
        <f>IFERROR(__xludf.DUMMYFUNCTION("""COMPUTED_VALUE"""),"K")</f>
        <v>K</v>
      </c>
    </row>
    <row r="789" ht="22.5" customHeight="1">
      <c r="A789" s="6">
        <v>788.0</v>
      </c>
      <c r="B789" s="6" t="str">
        <f>IFERROR(__xludf.DUMMYFUNCTION("""COMPUTED_VALUE"""),"Merias Wajah")</f>
        <v>Merias Wajah</v>
      </c>
      <c r="C789" s="6" t="str">
        <f>IFERROR(__xludf.DUMMYFUNCTION("""COMPUTED_VALUE"""),"SMK Negeri 3 Kendari")</f>
        <v>SMK Negeri 3 Kendari</v>
      </c>
      <c r="F789" s="6" t="str">
        <f>IFERROR(__xludf.DUMMYFUNCTION("""COMPUTED_VALUE"""),"Efrianti")</f>
        <v>Efrianti</v>
      </c>
      <c r="G789" s="6" t="str">
        <f>IFERROR(__xludf.DUMMYFUNCTION("""COMPUTED_VALUE"""),"7402056601090001")</f>
        <v>7402056601090001</v>
      </c>
      <c r="J789" s="7" t="str">
        <f>IFERROR(__xludf.DUMMYFUNCTION("""COMPUTED_VALUE"""),"PEREMPUAN")</f>
        <v>PEREMPUAN</v>
      </c>
      <c r="K789" s="6" t="str">
        <f>IFERROR(__xludf.DUMMYFUNCTION("""COMPUTED_VALUE"""),"Andaduwi, Kec. Sampara, Kab. Konawe")</f>
        <v>Andaduwi, Kec. Sampara, Kab. Konawe</v>
      </c>
      <c r="N789" s="8" t="s">
        <v>19</v>
      </c>
      <c r="R789" s="7" t="str">
        <f>IFERROR(__xludf.DUMMYFUNCTION("""COMPUTED_VALUE"""),"K")</f>
        <v>K</v>
      </c>
    </row>
    <row r="790" ht="22.5" customHeight="1">
      <c r="A790" s="6">
        <v>789.0</v>
      </c>
      <c r="B790" s="6" t="str">
        <f>IFERROR(__xludf.DUMMYFUNCTION("""COMPUTED_VALUE"""),"Merias Wajah")</f>
        <v>Merias Wajah</v>
      </c>
      <c r="C790" s="6" t="str">
        <f>IFERROR(__xludf.DUMMYFUNCTION("""COMPUTED_VALUE"""),"SMK Negeri 3 Kendari")</f>
        <v>SMK Negeri 3 Kendari</v>
      </c>
      <c r="F790" s="6" t="str">
        <f>IFERROR(__xludf.DUMMYFUNCTION("""COMPUTED_VALUE"""),"Firna Damaris")</f>
        <v>Firna Damaris</v>
      </c>
      <c r="G790" s="6" t="str">
        <f>IFERROR(__xludf.DUMMYFUNCTION("""COMPUTED_VALUE"""),"7403304610080001")</f>
        <v>7403304610080001</v>
      </c>
      <c r="J790" s="7" t="str">
        <f>IFERROR(__xludf.DUMMYFUNCTION("""COMPUTED_VALUE"""),"PEREMPUAN")</f>
        <v>PEREMPUAN</v>
      </c>
      <c r="K790" s="6" t="str">
        <f>IFERROR(__xludf.DUMMYFUNCTION("""COMPUTED_VALUE"""),"Kontukowuna")</f>
        <v>Kontukowuna</v>
      </c>
      <c r="N790" s="8" t="s">
        <v>19</v>
      </c>
      <c r="R790" s="7" t="str">
        <f>IFERROR(__xludf.DUMMYFUNCTION("""COMPUTED_VALUE"""),"K")</f>
        <v>K</v>
      </c>
    </row>
    <row r="791" ht="22.5" customHeight="1">
      <c r="A791" s="6">
        <v>790.0</v>
      </c>
      <c r="B791" s="6" t="str">
        <f>IFERROR(__xludf.DUMMYFUNCTION("""COMPUTED_VALUE"""),"Merias Wajah")</f>
        <v>Merias Wajah</v>
      </c>
      <c r="C791" s="6" t="str">
        <f>IFERROR(__xludf.DUMMYFUNCTION("""COMPUTED_VALUE"""),"SMK Negeri 3 Kendari")</f>
        <v>SMK Negeri 3 Kendari</v>
      </c>
      <c r="F791" s="6" t="str">
        <f>IFERROR(__xludf.DUMMYFUNCTION("""COMPUTED_VALUE"""),"Kaila Salsabila Wahyu Saputri")</f>
        <v>Kaila Salsabila Wahyu Saputri</v>
      </c>
      <c r="G791" s="6" t="str">
        <f>IFERROR(__xludf.DUMMYFUNCTION("""COMPUTED_VALUE"""),"9104015501080003")</f>
        <v>9104015501080003</v>
      </c>
      <c r="J791" s="7" t="str">
        <f>IFERROR(__xludf.DUMMYFUNCTION("""COMPUTED_VALUE"""),"PEREMPUAN")</f>
        <v>PEREMPUAN</v>
      </c>
      <c r="K791" s="6" t="str">
        <f>IFERROR(__xludf.DUMMYFUNCTION("""COMPUTED_VALUE"""),"Asrama Denzibang 3 Kamp. Salo")</f>
        <v>Asrama Denzibang 3 Kamp. Salo</v>
      </c>
      <c r="N791" s="8" t="s">
        <v>19</v>
      </c>
      <c r="R791" s="7" t="str">
        <f>IFERROR(__xludf.DUMMYFUNCTION("""COMPUTED_VALUE"""),"K")</f>
        <v>K</v>
      </c>
    </row>
    <row r="792" ht="22.5" customHeight="1">
      <c r="A792" s="6">
        <v>791.0</v>
      </c>
      <c r="B792" s="6" t="str">
        <f>IFERROR(__xludf.DUMMYFUNCTION("""COMPUTED_VALUE"""),"Merias Wajah")</f>
        <v>Merias Wajah</v>
      </c>
      <c r="C792" s="6" t="str">
        <f>IFERROR(__xludf.DUMMYFUNCTION("""COMPUTED_VALUE"""),"SMK Negeri 3 Kendari")</f>
        <v>SMK Negeri 3 Kendari</v>
      </c>
      <c r="F792" s="6" t="str">
        <f>IFERROR(__xludf.DUMMYFUNCTION("""COMPUTED_VALUE"""),"Putriana Clara Da Silva")</f>
        <v>Putriana Clara Da Silva</v>
      </c>
      <c r="G792" s="6" t="str">
        <f>IFERROR(__xludf.DUMMYFUNCTION("""COMPUTED_VALUE"""),"7403326108080001")</f>
        <v>7403326108080001</v>
      </c>
      <c r="J792" s="7" t="str">
        <f>IFERROR(__xludf.DUMMYFUNCTION("""COMPUTED_VALUE"""),"PEREMPUAN")</f>
        <v>PEREMPUAN</v>
      </c>
      <c r="K792" s="6" t="str">
        <f>IFERROR(__xludf.DUMMYFUNCTION("""COMPUTED_VALUE"""),"Muna Tongkuno Selatan")</f>
        <v>Muna Tongkuno Selatan</v>
      </c>
      <c r="N792" s="8" t="s">
        <v>19</v>
      </c>
      <c r="R792" s="7" t="str">
        <f>IFERROR(__xludf.DUMMYFUNCTION("""COMPUTED_VALUE"""),"K")</f>
        <v>K</v>
      </c>
    </row>
    <row r="793" ht="22.5" customHeight="1">
      <c r="A793" s="6">
        <v>792.0</v>
      </c>
      <c r="B793" s="6" t="str">
        <f>IFERROR(__xludf.DUMMYFUNCTION("""COMPUTED_VALUE"""),"Merias Wajah")</f>
        <v>Merias Wajah</v>
      </c>
      <c r="C793" s="6" t="str">
        <f>IFERROR(__xludf.DUMMYFUNCTION("""COMPUTED_VALUE"""),"SMK Negeri 3 Kendari")</f>
        <v>SMK Negeri 3 Kendari</v>
      </c>
      <c r="F793" s="6" t="str">
        <f>IFERROR(__xludf.DUMMYFUNCTION("""COMPUTED_VALUE"""),"Syailah Fardhillah")</f>
        <v>Syailah Fardhillah</v>
      </c>
      <c r="G793" s="6" t="str">
        <f>IFERROR(__xludf.DUMMYFUNCTION("""COMPUTED_VALUE"""),"7471107103080001")</f>
        <v>7471107103080001</v>
      </c>
      <c r="J793" s="7" t="str">
        <f>IFERROR(__xludf.DUMMYFUNCTION("""COMPUTED_VALUE"""),"PEREMPUAN")</f>
        <v>PEREMPUAN</v>
      </c>
      <c r="K793" s="6" t="str">
        <f>IFERROR(__xludf.DUMMYFUNCTION("""COMPUTED_VALUE"""),"BTN Kendari Permai Blok S4 No. 12")</f>
        <v>BTN Kendari Permai Blok S4 No. 12</v>
      </c>
      <c r="N793" s="8" t="s">
        <v>19</v>
      </c>
      <c r="R793" s="7" t="str">
        <f>IFERROR(__xludf.DUMMYFUNCTION("""COMPUTED_VALUE"""),"K")</f>
        <v>K</v>
      </c>
    </row>
    <row r="794" ht="22.5" customHeight="1">
      <c r="A794" s="6">
        <v>793.0</v>
      </c>
      <c r="B794" s="6" t="str">
        <f>IFERROR(__xludf.DUMMYFUNCTION("""COMPUTED_VALUE"""),"Merias Wajah")</f>
        <v>Merias Wajah</v>
      </c>
      <c r="C794" s="6" t="str">
        <f>IFERROR(__xludf.DUMMYFUNCTION("""COMPUTED_VALUE"""),"SMK Negeri 3 Kendari")</f>
        <v>SMK Negeri 3 Kendari</v>
      </c>
      <c r="F794" s="6" t="str">
        <f>IFERROR(__xludf.DUMMYFUNCTION("""COMPUTED_VALUE"""),"Anisa Sekar Sari")</f>
        <v>Anisa Sekar Sari</v>
      </c>
      <c r="G794" s="6" t="str">
        <f>IFERROR(__xludf.DUMMYFUNCTION("""COMPUTED_VALUE"""),"7405084701080001")</f>
        <v>7405084701080001</v>
      </c>
      <c r="J794" s="7" t="str">
        <f>IFERROR(__xludf.DUMMYFUNCTION("""COMPUTED_VALUE"""),"PEREMPUAN")</f>
        <v>PEREMPUAN</v>
      </c>
      <c r="K794" s="6" t="str">
        <f>IFERROR(__xludf.DUMMYFUNCTION("""COMPUTED_VALUE"""),"Desa Langgea")</f>
        <v>Desa Langgea</v>
      </c>
      <c r="N794" s="8" t="s">
        <v>19</v>
      </c>
      <c r="R794" s="7" t="str">
        <f>IFERROR(__xludf.DUMMYFUNCTION("""COMPUTED_VALUE"""),"K")</f>
        <v>K</v>
      </c>
    </row>
    <row r="795" ht="22.5" customHeight="1">
      <c r="A795" s="6">
        <v>794.0</v>
      </c>
      <c r="B795" s="6" t="str">
        <f>IFERROR(__xludf.DUMMYFUNCTION("""COMPUTED_VALUE"""),"Merias Wajah")</f>
        <v>Merias Wajah</v>
      </c>
      <c r="C795" s="6" t="str">
        <f>IFERROR(__xludf.DUMMYFUNCTION("""COMPUTED_VALUE"""),"SMK Negeri 3 Kendari")</f>
        <v>SMK Negeri 3 Kendari</v>
      </c>
      <c r="F795" s="6" t="str">
        <f>IFERROR(__xludf.DUMMYFUNCTION("""COMPUTED_VALUE"""),"Irmadani")</f>
        <v>Irmadani</v>
      </c>
      <c r="G795" s="6" t="str">
        <f>IFERROR(__xludf.DUMMYFUNCTION("""COMPUTED_VALUE"""),"7471035709070001")</f>
        <v>7471035709070001</v>
      </c>
      <c r="J795" s="7" t="str">
        <f>IFERROR(__xludf.DUMMYFUNCTION("""COMPUTED_VALUE"""),"PEREMPUAN")</f>
        <v>PEREMPUAN</v>
      </c>
      <c r="K795" s="6" t="str">
        <f>IFERROR(__xludf.DUMMYFUNCTION("""COMPUTED_VALUE"""),"Jl. Patimura Lr. Watulondo")</f>
        <v>Jl. Patimura Lr. Watulondo</v>
      </c>
      <c r="N795" s="8" t="s">
        <v>19</v>
      </c>
      <c r="R795" s="7" t="str">
        <f>IFERROR(__xludf.DUMMYFUNCTION("""COMPUTED_VALUE"""),"K")</f>
        <v>K</v>
      </c>
    </row>
    <row r="796" ht="22.5" customHeight="1">
      <c r="A796" s="6">
        <v>795.0</v>
      </c>
      <c r="B796" s="6" t="str">
        <f>IFERROR(__xludf.DUMMYFUNCTION("""COMPUTED_VALUE"""),"Merias Wajah")</f>
        <v>Merias Wajah</v>
      </c>
      <c r="C796" s="6" t="str">
        <f>IFERROR(__xludf.DUMMYFUNCTION("""COMPUTED_VALUE"""),"SMK Negeri 3 Kendari")</f>
        <v>SMK Negeri 3 Kendari</v>
      </c>
      <c r="F796" s="6" t="str">
        <f>IFERROR(__xludf.DUMMYFUNCTION("""COMPUTED_VALUE"""),"Nurdian Din Tomanga")</f>
        <v>Nurdian Din Tomanga</v>
      </c>
      <c r="G796" s="6" t="str">
        <f>IFERROR(__xludf.DUMMYFUNCTION("""COMPUTED_VALUE"""),"7471076008070001")</f>
        <v>7471076008070001</v>
      </c>
      <c r="J796" s="7" t="str">
        <f>IFERROR(__xludf.DUMMYFUNCTION("""COMPUTED_VALUE"""),"PEREMPUAN")</f>
        <v>PEREMPUAN</v>
      </c>
      <c r="K796" s="6" t="str">
        <f>IFERROR(__xludf.DUMMYFUNCTION("""COMPUTED_VALUE"""),"Jl.D.I. Panjaitan Lepo-lepo Permai")</f>
        <v>Jl.D.I. Panjaitan Lepo-lepo Permai</v>
      </c>
      <c r="N796" s="8" t="s">
        <v>19</v>
      </c>
      <c r="R796" s="7" t="str">
        <f>IFERROR(__xludf.DUMMYFUNCTION("""COMPUTED_VALUE"""),"K")</f>
        <v>K</v>
      </c>
    </row>
    <row r="797" ht="22.5" customHeight="1">
      <c r="A797" s="6">
        <v>796.0</v>
      </c>
      <c r="B797" s="6" t="str">
        <f>IFERROR(__xludf.DUMMYFUNCTION("""COMPUTED_VALUE"""),"Merias Wajah")</f>
        <v>Merias Wajah</v>
      </c>
      <c r="C797" s="6" t="str">
        <f>IFERROR(__xludf.DUMMYFUNCTION("""COMPUTED_VALUE"""),"SMK Negeri 3 Kendari")</f>
        <v>SMK Negeri 3 Kendari</v>
      </c>
      <c r="F797" s="6" t="str">
        <f>IFERROR(__xludf.DUMMYFUNCTION("""COMPUTED_VALUE"""),"Karina")</f>
        <v>Karina</v>
      </c>
      <c r="G797" s="6" t="str">
        <f>IFERROR(__xludf.DUMMYFUNCTION("""COMPUTED_VALUE"""),"7405155606080004")</f>
        <v>7405155606080004</v>
      </c>
      <c r="J797" s="7" t="str">
        <f>IFERROR(__xludf.DUMMYFUNCTION("""COMPUTED_VALUE"""),"PEREMPUAN")</f>
        <v>PEREMPUAN</v>
      </c>
      <c r="K797" s="6" t="str">
        <f>IFERROR(__xludf.DUMMYFUNCTION("""COMPUTED_VALUE"""),"Jl. Panjaitan")</f>
        <v>Jl. Panjaitan</v>
      </c>
      <c r="N797" s="8" t="s">
        <v>19</v>
      </c>
      <c r="R797" s="7" t="str">
        <f>IFERROR(__xludf.DUMMYFUNCTION("""COMPUTED_VALUE"""),"K")</f>
        <v>K</v>
      </c>
    </row>
    <row r="798" ht="22.5" customHeight="1">
      <c r="A798" s="6">
        <v>797.0</v>
      </c>
      <c r="B798" s="6" t="str">
        <f>IFERROR(__xludf.DUMMYFUNCTION("""COMPUTED_VALUE"""),"Merias Wajah")</f>
        <v>Merias Wajah</v>
      </c>
      <c r="C798" s="6" t="str">
        <f>IFERROR(__xludf.DUMMYFUNCTION("""COMPUTED_VALUE"""),"SMK Negeri 3 Kendari")</f>
        <v>SMK Negeri 3 Kendari</v>
      </c>
      <c r="F798" s="6" t="str">
        <f>IFERROR(__xludf.DUMMYFUNCTION("""COMPUTED_VALUE"""),"Wa Ode Alikha Chantika")</f>
        <v>Wa Ode Alikha Chantika</v>
      </c>
      <c r="G798" s="6" t="str">
        <f>IFERROR(__xludf.DUMMYFUNCTION("""COMPUTED_VALUE"""),"7471095808080001")</f>
        <v>7471095808080001</v>
      </c>
      <c r="J798" s="7" t="str">
        <f>IFERROR(__xludf.DUMMYFUNCTION("""COMPUTED_VALUE"""),"PEREMPUAN")</f>
        <v>PEREMPUAN</v>
      </c>
      <c r="K798" s="6" t="str">
        <f>IFERROR(__xludf.DUMMYFUNCTION("""COMPUTED_VALUE"""),"Jl. A. Yani Belakang BTN III")</f>
        <v>Jl. A. Yani Belakang BTN III</v>
      </c>
      <c r="N798" s="8" t="s">
        <v>19</v>
      </c>
      <c r="R798" s="7" t="str">
        <f>IFERROR(__xludf.DUMMYFUNCTION("""COMPUTED_VALUE"""),"K")</f>
        <v>K</v>
      </c>
    </row>
    <row r="799" ht="22.5" customHeight="1">
      <c r="A799" s="6">
        <v>798.0</v>
      </c>
      <c r="B799" s="6" t="str">
        <f>IFERROR(__xludf.DUMMYFUNCTION("""COMPUTED_VALUE"""),"Pembuatan Roti dan Kue")</f>
        <v>Pembuatan Roti dan Kue</v>
      </c>
      <c r="C799" s="6" t="str">
        <f>IFERROR(__xludf.DUMMYFUNCTION("""COMPUTED_VALUE"""),"SMK Negeri 3 Kendari")</f>
        <v>SMK Negeri 3 Kendari</v>
      </c>
      <c r="F799" s="6" t="str">
        <f>IFERROR(__xludf.DUMMYFUNCTION("""COMPUTED_VALUE"""),"WAHYUNI ANDRIANI")</f>
        <v>WAHYUNI ANDRIANI</v>
      </c>
      <c r="G799" s="6" t="str">
        <f>IFERROR(__xludf.DUMMYFUNCTION("""COMPUTED_VALUE"""),"7471095510080002")</f>
        <v>7471095510080002</v>
      </c>
      <c r="J799" s="7" t="str">
        <f>IFERROR(__xludf.DUMMYFUNCTION("""COMPUTED_VALUE"""),"PEREMPUAN")</f>
        <v>PEREMPUAN</v>
      </c>
      <c r="K799" s="6" t="str">
        <f>IFERROR(__xludf.DUMMYFUNCTION("""COMPUTED_VALUE"""),"BTN Villa Ibis Blok C1/16")</f>
        <v>BTN Villa Ibis Blok C1/16</v>
      </c>
      <c r="N799" s="8" t="s">
        <v>19</v>
      </c>
      <c r="R799" s="7" t="str">
        <f>IFERROR(__xludf.DUMMYFUNCTION("""COMPUTED_VALUE"""),"K")</f>
        <v>K</v>
      </c>
    </row>
    <row r="800" ht="22.5" customHeight="1">
      <c r="A800" s="6">
        <v>799.0</v>
      </c>
      <c r="B800" s="6" t="str">
        <f>IFERROR(__xludf.DUMMYFUNCTION("""COMPUTED_VALUE"""),"Pembuatan Roti dan Kue")</f>
        <v>Pembuatan Roti dan Kue</v>
      </c>
      <c r="C800" s="6" t="str">
        <f>IFERROR(__xludf.DUMMYFUNCTION("""COMPUTED_VALUE"""),"SMK Negeri 3 Kendari")</f>
        <v>SMK Negeri 3 Kendari</v>
      </c>
      <c r="F800" s="6" t="str">
        <f>IFERROR(__xludf.DUMMYFUNCTION("""COMPUTED_VALUE"""),"SENTIYA DEWI")</f>
        <v>SENTIYA DEWI</v>
      </c>
      <c r="G800" s="13">
        <f>IFERROR(__xludf.DUMMYFUNCTION("""COMPUTED_VALUE"""),7.40522531108E15)</f>
        <v>7.40523E+15</v>
      </c>
      <c r="J800" s="7" t="str">
        <f>IFERROR(__xludf.DUMMYFUNCTION("""COMPUTED_VALUE"""),"PEREMPUAN")</f>
        <v>PEREMPUAN</v>
      </c>
      <c r="K800" s="6" t="str">
        <f>IFERROR(__xludf.DUMMYFUNCTION("""COMPUTED_VALUE"""),"Desa Amokuni")</f>
        <v>Desa Amokuni</v>
      </c>
      <c r="N800" s="8" t="s">
        <v>19</v>
      </c>
      <c r="R800" s="7" t="str">
        <f>IFERROR(__xludf.DUMMYFUNCTION("""COMPUTED_VALUE"""),"K")</f>
        <v>K</v>
      </c>
    </row>
    <row r="801" ht="22.5" customHeight="1">
      <c r="A801" s="6">
        <v>800.0</v>
      </c>
      <c r="B801" s="6" t="str">
        <f>IFERROR(__xludf.DUMMYFUNCTION("""COMPUTED_VALUE"""),"Pembuatan Roti dan Kue")</f>
        <v>Pembuatan Roti dan Kue</v>
      </c>
      <c r="C801" s="6" t="str">
        <f>IFERROR(__xludf.DUMMYFUNCTION("""COMPUTED_VALUE"""),"SMK Negeri 3 Kendari")</f>
        <v>SMK Negeri 3 Kendari</v>
      </c>
      <c r="F801" s="6" t="str">
        <f>IFERROR(__xludf.DUMMYFUNCTION("""COMPUTED_VALUE"""),"SUCI RAHMAWATI")</f>
        <v>SUCI RAHMAWATI</v>
      </c>
      <c r="G801" s="13">
        <f>IFERROR(__xludf.DUMMYFUNCTION("""COMPUTED_VALUE"""),7.471104801309E16)</f>
        <v>7.4711E+16</v>
      </c>
      <c r="J801" s="7" t="str">
        <f>IFERROR(__xludf.DUMMYFUNCTION("""COMPUTED_VALUE"""),"PEREMPUAN")</f>
        <v>PEREMPUAN</v>
      </c>
      <c r="K801" s="6" t="str">
        <f>IFERROR(__xludf.DUMMYFUNCTION("""COMPUTED_VALUE"""),"Jln. Di Panjaitan")</f>
        <v>Jln. Di Panjaitan</v>
      </c>
      <c r="N801" s="8" t="s">
        <v>19</v>
      </c>
      <c r="R801" s="7" t="str">
        <f>IFERROR(__xludf.DUMMYFUNCTION("""COMPUTED_VALUE"""),"K")</f>
        <v>K</v>
      </c>
    </row>
    <row r="802" ht="22.5" customHeight="1">
      <c r="A802" s="6">
        <v>801.0</v>
      </c>
      <c r="B802" s="6" t="str">
        <f>IFERROR(__xludf.DUMMYFUNCTION("""COMPUTED_VALUE"""),"Pembuatan Roti dan Kue")</f>
        <v>Pembuatan Roti dan Kue</v>
      </c>
      <c r="C802" s="6" t="str">
        <f>IFERROR(__xludf.DUMMYFUNCTION("""COMPUTED_VALUE"""),"SMK Negeri 3 Kendari")</f>
        <v>SMK Negeri 3 Kendari</v>
      </c>
      <c r="F802" s="6" t="str">
        <f>IFERROR(__xludf.DUMMYFUNCTION("""COMPUTED_VALUE"""),"ZASKIA SALSABILLAH")</f>
        <v>ZASKIA SALSABILLAH</v>
      </c>
      <c r="G802" s="13">
        <f>IFERROR(__xludf.DUMMYFUNCTION("""COMPUTED_VALUE"""),7.47109641080001E14)</f>
        <v>747109641080001</v>
      </c>
      <c r="J802" s="7" t="str">
        <f>IFERROR(__xludf.DUMMYFUNCTION("""COMPUTED_VALUE"""),"PEREMPUAN")</f>
        <v>PEREMPUAN</v>
      </c>
      <c r="K802" s="6" t="str">
        <f>IFERROR(__xludf.DUMMYFUNCTION("""COMPUTED_VALUE"""),"Jl. Prof Muh. Yamin No.1")</f>
        <v>Jl. Prof Muh. Yamin No.1</v>
      </c>
      <c r="N802" s="8" t="s">
        <v>19</v>
      </c>
      <c r="R802" s="7" t="str">
        <f>IFERROR(__xludf.DUMMYFUNCTION("""COMPUTED_VALUE"""),"K")</f>
        <v>K</v>
      </c>
    </row>
    <row r="803" ht="22.5" customHeight="1">
      <c r="A803" s="6">
        <v>802.0</v>
      </c>
      <c r="B803" s="6" t="str">
        <f>IFERROR(__xludf.DUMMYFUNCTION("""COMPUTED_VALUE"""),"Pembuatan Roti dan Kue")</f>
        <v>Pembuatan Roti dan Kue</v>
      </c>
      <c r="C803" s="6" t="str">
        <f>IFERROR(__xludf.DUMMYFUNCTION("""COMPUTED_VALUE"""),"SMK Negeri 3 Kendari")</f>
        <v>SMK Negeri 3 Kendari</v>
      </c>
      <c r="F803" s="6" t="str">
        <f>IFERROR(__xludf.DUMMYFUNCTION("""COMPUTED_VALUE"""),"KHOLISA NURZAKIA")</f>
        <v>KHOLISA NURZAKIA</v>
      </c>
      <c r="G803" s="13">
        <f>IFERROR(__xludf.DUMMYFUNCTION("""COMPUTED_VALUE"""),7.47110520109E15)</f>
        <v>7.47111E+15</v>
      </c>
      <c r="J803" s="7" t="str">
        <f>IFERROR(__xludf.DUMMYFUNCTION("""COMPUTED_VALUE"""),"PEREMPUAN")</f>
        <v>PEREMPUAN</v>
      </c>
      <c r="K803" s="6" t="str">
        <f>IFERROR(__xludf.DUMMYFUNCTION("""COMPUTED_VALUE"""),"Jl. Pasar Baruga")</f>
        <v>Jl. Pasar Baruga</v>
      </c>
      <c r="N803" s="8" t="s">
        <v>19</v>
      </c>
      <c r="R803" s="7" t="str">
        <f>IFERROR(__xludf.DUMMYFUNCTION("""COMPUTED_VALUE"""),"K")</f>
        <v>K</v>
      </c>
    </row>
    <row r="804" ht="22.5" customHeight="1">
      <c r="A804" s="6">
        <v>803.0</v>
      </c>
      <c r="B804" s="6" t="str">
        <f>IFERROR(__xludf.DUMMYFUNCTION("""COMPUTED_VALUE"""),"Pembuatan Roti dan Kue")</f>
        <v>Pembuatan Roti dan Kue</v>
      </c>
      <c r="C804" s="6" t="str">
        <f>IFERROR(__xludf.DUMMYFUNCTION("""COMPUTED_VALUE"""),"SMK Negeri 3 Kendari")</f>
        <v>SMK Negeri 3 Kendari</v>
      </c>
      <c r="F804" s="6" t="str">
        <f>IFERROR(__xludf.DUMMYFUNCTION("""COMPUTED_VALUE"""),"SUCI HERMINA")</f>
        <v>SUCI HERMINA</v>
      </c>
      <c r="G804" s="13">
        <f>IFERROR(__xludf.DUMMYFUNCTION("""COMPUTED_VALUE"""),7.40119411008E15)</f>
        <v>7.40119E+15</v>
      </c>
      <c r="J804" s="7" t="str">
        <f>IFERROR(__xludf.DUMMYFUNCTION("""COMPUTED_VALUE"""),"PEREMPUAN")</f>
        <v>PEREMPUAN</v>
      </c>
      <c r="K804" s="6" t="str">
        <f>IFERROR(__xludf.DUMMYFUNCTION("""COMPUTED_VALUE"""),"Baruga")</f>
        <v>Baruga</v>
      </c>
      <c r="N804" s="8" t="s">
        <v>19</v>
      </c>
      <c r="R804" s="7" t="str">
        <f>IFERROR(__xludf.DUMMYFUNCTION("""COMPUTED_VALUE"""),"K")</f>
        <v>K</v>
      </c>
    </row>
    <row r="805" ht="22.5" customHeight="1">
      <c r="A805" s="6">
        <v>804.0</v>
      </c>
      <c r="B805" s="6" t="str">
        <f>IFERROR(__xludf.DUMMYFUNCTION("""COMPUTED_VALUE"""),"Pembuatan Roti dan Kue")</f>
        <v>Pembuatan Roti dan Kue</v>
      </c>
      <c r="C805" s="6" t="str">
        <f>IFERROR(__xludf.DUMMYFUNCTION("""COMPUTED_VALUE"""),"SMK Negeri 3 Kendari")</f>
        <v>SMK Negeri 3 Kendari</v>
      </c>
      <c r="F805" s="6" t="str">
        <f>IFERROR(__xludf.DUMMYFUNCTION("""COMPUTED_VALUE"""),"MUHAMMAD SYAFII MUBAROK")</f>
        <v>MUHAMMAD SYAFII MUBAROK</v>
      </c>
      <c r="G805" s="13">
        <f>IFERROR(__xludf.DUMMYFUNCTION("""COMPUTED_VALUE"""),7.471008020908E16)</f>
        <v>7.47101E+16</v>
      </c>
      <c r="J805" s="7" t="str">
        <f>IFERROR(__xludf.DUMMYFUNCTION("""COMPUTED_VALUE"""),"PEREMPUAN")</f>
        <v>PEREMPUAN</v>
      </c>
      <c r="K805" s="6" t="str">
        <f>IFERROR(__xludf.DUMMYFUNCTION("""COMPUTED_VALUE"""),"Jl. Bunga Matahari")</f>
        <v>Jl. Bunga Matahari</v>
      </c>
      <c r="N805" s="8" t="s">
        <v>19</v>
      </c>
      <c r="R805" s="7" t="str">
        <f>IFERROR(__xludf.DUMMYFUNCTION("""COMPUTED_VALUE"""),"K")</f>
        <v>K</v>
      </c>
    </row>
    <row r="806" ht="22.5" customHeight="1">
      <c r="A806" s="6">
        <v>805.0</v>
      </c>
      <c r="B806" s="6" t="str">
        <f>IFERROR(__xludf.DUMMYFUNCTION("""COMPUTED_VALUE"""),"Pembuatan Roti dan Kue")</f>
        <v>Pembuatan Roti dan Kue</v>
      </c>
      <c r="C806" s="6" t="str">
        <f>IFERROR(__xludf.DUMMYFUNCTION("""COMPUTED_VALUE"""),"SMK Negeri 3 Kendari")</f>
        <v>SMK Negeri 3 Kendari</v>
      </c>
      <c r="F806" s="6" t="str">
        <f>IFERROR(__xludf.DUMMYFUNCTION("""COMPUTED_VALUE"""),"RAHMAD SAPUTRA")</f>
        <v>RAHMAD SAPUTRA</v>
      </c>
      <c r="G806" s="13">
        <f>IFERROR(__xludf.DUMMYFUNCTION("""COMPUTED_VALUE"""),7.40228190308E15)</f>
        <v>7.40228E+15</v>
      </c>
      <c r="J806" s="7" t="str">
        <f>IFERROR(__xludf.DUMMYFUNCTION("""COMPUTED_VALUE"""),"LAKI-LAKI")</f>
        <v>LAKI-LAKI</v>
      </c>
      <c r="K806" s="6" t="str">
        <f>IFERROR(__xludf.DUMMYFUNCTION("""COMPUTED_VALUE"""),"RT 003 RW 001, Anggilowu, Kec. Mandonga, Kota Kendari")</f>
        <v>RT 003 RW 001, Anggilowu, Kec. Mandonga, Kota Kendari</v>
      </c>
      <c r="N806" s="8" t="s">
        <v>19</v>
      </c>
      <c r="R806" s="7" t="str">
        <f>IFERROR(__xludf.DUMMYFUNCTION("""COMPUTED_VALUE"""),"K")</f>
        <v>K</v>
      </c>
    </row>
    <row r="807" ht="22.5" customHeight="1">
      <c r="A807" s="6">
        <v>806.0</v>
      </c>
      <c r="B807" s="6" t="str">
        <f>IFERROR(__xludf.DUMMYFUNCTION("""COMPUTED_VALUE"""),"Pembuatan Roti dan Kue")</f>
        <v>Pembuatan Roti dan Kue</v>
      </c>
      <c r="C807" s="6" t="str">
        <f>IFERROR(__xludf.DUMMYFUNCTION("""COMPUTED_VALUE"""),"SMK Negeri 3 Kendari")</f>
        <v>SMK Negeri 3 Kendari</v>
      </c>
      <c r="F807" s="6" t="str">
        <f>IFERROR(__xludf.DUMMYFUNCTION("""COMPUTED_VALUE"""),"DINA ATHIRAH")</f>
        <v>DINA ATHIRAH</v>
      </c>
      <c r="G807" s="13">
        <f>IFERROR(__xludf.DUMMYFUNCTION("""COMPUTED_VALUE"""),7.47110470208E15)</f>
        <v>7.4711E+15</v>
      </c>
      <c r="J807" s="7" t="str">
        <f>IFERROR(__xludf.DUMMYFUNCTION("""COMPUTED_VALUE"""),"PEREMPUAN")</f>
        <v>PEREMPUAN</v>
      </c>
      <c r="K807" s="6" t="str">
        <f>IFERROR(__xludf.DUMMYFUNCTION("""COMPUTED_VALUE"""),"Jl.H. E. A. Mokodompit Lrg. Pelangi no.2")</f>
        <v>Jl.H. E. A. Mokodompit Lrg. Pelangi no.2</v>
      </c>
      <c r="N807" s="8" t="s">
        <v>19</v>
      </c>
      <c r="R807" s="7" t="str">
        <f>IFERROR(__xludf.DUMMYFUNCTION("""COMPUTED_VALUE"""),"K")</f>
        <v>K</v>
      </c>
    </row>
    <row r="808" ht="22.5" customHeight="1">
      <c r="A808" s="6">
        <v>807.0</v>
      </c>
      <c r="B808" s="6" t="str">
        <f>IFERROR(__xludf.DUMMYFUNCTION("""COMPUTED_VALUE"""),"Pembuatan Roti dan Kue")</f>
        <v>Pembuatan Roti dan Kue</v>
      </c>
      <c r="C808" s="6" t="str">
        <f>IFERROR(__xludf.DUMMYFUNCTION("""COMPUTED_VALUE"""),"SMK Negeri 5 Kendari")</f>
        <v>SMK Negeri 5 Kendari</v>
      </c>
      <c r="F808" s="6" t="str">
        <f>IFERROR(__xludf.DUMMYFUNCTION("""COMPUTED_VALUE"""),"AGISKA PUTRI DEVINA ")</f>
        <v>AGISKA PUTRI DEVINA </v>
      </c>
      <c r="G808" s="6">
        <f>IFERROR(__xludf.DUMMYFUNCTION("""COMPUTED_VALUE"""),7.4710344180003E13)</f>
        <v>74710344180003</v>
      </c>
      <c r="J808" s="7" t="str">
        <f>IFERROR(__xludf.DUMMYFUNCTION("""COMPUTED_VALUE"""),"PEREMPUAN")</f>
        <v>PEREMPUAN</v>
      </c>
      <c r="K808" s="6" t="str">
        <f>IFERROR(__xludf.DUMMYFUNCTION("""COMPUTED_VALUE"""),"Lepo - Lepo ")</f>
        <v>Lepo - Lepo </v>
      </c>
      <c r="N808" s="8" t="s">
        <v>19</v>
      </c>
      <c r="R808" s="7" t="str">
        <f>IFERROR(__xludf.DUMMYFUNCTION("""COMPUTED_VALUE"""),"K")</f>
        <v>K</v>
      </c>
    </row>
    <row r="809" ht="22.5" customHeight="1">
      <c r="A809" s="6">
        <v>808.0</v>
      </c>
      <c r="B809" s="6" t="str">
        <f>IFERROR(__xludf.DUMMYFUNCTION("""COMPUTED_VALUE"""),"Pembuatan Roti dan Kue")</f>
        <v>Pembuatan Roti dan Kue</v>
      </c>
      <c r="C809" s="6" t="str">
        <f>IFERROR(__xludf.DUMMYFUNCTION("""COMPUTED_VALUE"""),"SMK Negeri 5 Kendari")</f>
        <v>SMK Negeri 5 Kendari</v>
      </c>
      <c r="F809" s="6" t="str">
        <f>IFERROR(__xludf.DUMMYFUNCTION("""COMPUTED_VALUE"""),"AL VAREZ  ZULFIKAR ADO")</f>
        <v>AL VAREZ  ZULFIKAR ADO</v>
      </c>
      <c r="G809" s="6" t="str">
        <f>IFERROR(__xludf.DUMMYFUNCTION("""COMPUTED_VALUE"""),"7471030306060007")</f>
        <v>7471030306060007</v>
      </c>
      <c r="J809" s="7" t="str">
        <f>IFERROR(__xludf.DUMMYFUNCTION("""COMPUTED_VALUE"""),"LAKI-LAKI")</f>
        <v>LAKI-LAKI</v>
      </c>
      <c r="K809" s="6" t="str">
        <f>IFERROR(__xludf.DUMMYFUNCTION("""COMPUTED_VALUE"""),"Jl. Sanggoleo, Lr.Safari")</f>
        <v>Jl. Sanggoleo, Lr.Safari</v>
      </c>
      <c r="N809" s="8" t="s">
        <v>19</v>
      </c>
      <c r="R809" s="7" t="str">
        <f>IFERROR(__xludf.DUMMYFUNCTION("""COMPUTED_VALUE"""),"K")</f>
        <v>K</v>
      </c>
    </row>
    <row r="810" ht="22.5" customHeight="1">
      <c r="A810" s="6">
        <v>809.0</v>
      </c>
      <c r="B810" s="6" t="str">
        <f>IFERROR(__xludf.DUMMYFUNCTION("""COMPUTED_VALUE"""),"Pembuatan Roti dan Kue")</f>
        <v>Pembuatan Roti dan Kue</v>
      </c>
      <c r="C810" s="6" t="str">
        <f>IFERROR(__xludf.DUMMYFUNCTION("""COMPUTED_VALUE"""),"SMK Negeri 5 Kendari")</f>
        <v>SMK Negeri 5 Kendari</v>
      </c>
      <c r="F810" s="6" t="str">
        <f>IFERROR(__xludf.DUMMYFUNCTION("""COMPUTED_VALUE"""),"ALIVYA ANANTHA")</f>
        <v>ALIVYA ANANTHA</v>
      </c>
      <c r="G810" s="6" t="str">
        <f>IFERROR(__xludf.DUMMYFUNCTION("""COMPUTED_VALUE"""),"7309686003070001")</f>
        <v>7309686003070001</v>
      </c>
      <c r="J810" s="7" t="str">
        <f>IFERROR(__xludf.DUMMYFUNCTION("""COMPUTED_VALUE"""),"PEREMPUAN")</f>
        <v>PEREMPUAN</v>
      </c>
      <c r="K810" s="6" t="str">
        <f>IFERROR(__xludf.DUMMYFUNCTION("""COMPUTED_VALUE"""),"Jl. Dr. Moh. Hatta")</f>
        <v>Jl. Dr. Moh. Hatta</v>
      </c>
      <c r="N810" s="8" t="s">
        <v>19</v>
      </c>
      <c r="R810" s="7" t="str">
        <f>IFERROR(__xludf.DUMMYFUNCTION("""COMPUTED_VALUE"""),"K")</f>
        <v>K</v>
      </c>
    </row>
    <row r="811" ht="22.5" customHeight="1">
      <c r="A811" s="6">
        <v>810.0</v>
      </c>
      <c r="B811" s="6" t="str">
        <f>IFERROR(__xludf.DUMMYFUNCTION("""COMPUTED_VALUE"""),"Pembuatan Roti dan Kue")</f>
        <v>Pembuatan Roti dan Kue</v>
      </c>
      <c r="C811" s="6" t="str">
        <f>IFERROR(__xludf.DUMMYFUNCTION("""COMPUTED_VALUE"""),"SMK Negeri 5 Kendari")</f>
        <v>SMK Negeri 5 Kendari</v>
      </c>
      <c r="F811" s="6" t="str">
        <f>IFERROR(__xludf.DUMMYFUNCTION("""COMPUTED_VALUE"""),"FADRIANUS RIFAN HALISNA")</f>
        <v>FADRIANUS RIFAN HALISNA</v>
      </c>
      <c r="G811" s="6" t="str">
        <f>IFERROR(__xludf.DUMMYFUNCTION("""COMPUTED_VALUE"""),"7471051507080001")</f>
        <v>7471051507080001</v>
      </c>
      <c r="J811" s="7" t="str">
        <f>IFERROR(__xludf.DUMMYFUNCTION("""COMPUTED_VALUE"""),"LAKI-LAKI")</f>
        <v>LAKI-LAKI</v>
      </c>
      <c r="K811" s="6" t="str">
        <f>IFERROR(__xludf.DUMMYFUNCTION("""COMPUTED_VALUE"""),"Jl. K.S. Tubuh, Nanga-nanga")</f>
        <v>Jl. K.S. Tubuh, Nanga-nanga</v>
      </c>
      <c r="N811" s="8" t="s">
        <v>19</v>
      </c>
      <c r="R811" s="7" t="str">
        <f>IFERROR(__xludf.DUMMYFUNCTION("""COMPUTED_VALUE"""),"K")</f>
        <v>K</v>
      </c>
    </row>
    <row r="812" ht="22.5" customHeight="1">
      <c r="A812" s="6">
        <v>811.0</v>
      </c>
      <c r="B812" s="6" t="str">
        <f>IFERROR(__xludf.DUMMYFUNCTION("""COMPUTED_VALUE"""),"Pembuatan Roti dan Kue")</f>
        <v>Pembuatan Roti dan Kue</v>
      </c>
      <c r="C812" s="6" t="str">
        <f>IFERROR(__xludf.DUMMYFUNCTION("""COMPUTED_VALUE"""),"SMK Negeri 5 Kendari")</f>
        <v>SMK Negeri 5 Kendari</v>
      </c>
      <c r="F812" s="6" t="str">
        <f>IFERROR(__xludf.DUMMYFUNCTION("""COMPUTED_VALUE"""),"FELIKS YANTO ASMAN")</f>
        <v>FELIKS YANTO ASMAN</v>
      </c>
      <c r="G812" s="6" t="str">
        <f>IFERROR(__xludf.DUMMYFUNCTION("""COMPUTED_VALUE"""),"5310061401070002")</f>
        <v>5310061401070002</v>
      </c>
      <c r="J812" s="7" t="str">
        <f>IFERROR(__xludf.DUMMYFUNCTION("""COMPUTED_VALUE"""),"LAKI-LAKI")</f>
        <v>LAKI-LAKI</v>
      </c>
      <c r="K812" s="6" t="str">
        <f>IFERROR(__xludf.DUMMYFUNCTION("""COMPUTED_VALUE"""),"Ranometo")</f>
        <v>Ranometo</v>
      </c>
      <c r="N812" s="8" t="s">
        <v>19</v>
      </c>
      <c r="R812" s="7" t="str">
        <f>IFERROR(__xludf.DUMMYFUNCTION("""COMPUTED_VALUE"""),"K")</f>
        <v>K</v>
      </c>
    </row>
    <row r="813" ht="22.5" customHeight="1">
      <c r="A813" s="6">
        <v>812.0</v>
      </c>
      <c r="B813" s="6" t="str">
        <f>IFERROR(__xludf.DUMMYFUNCTION("""COMPUTED_VALUE"""),"Pembuatan Roti dan Kue")</f>
        <v>Pembuatan Roti dan Kue</v>
      </c>
      <c r="C813" s="6" t="str">
        <f>IFERROR(__xludf.DUMMYFUNCTION("""COMPUTED_VALUE"""),"SMK Negeri 5 Kendari")</f>
        <v>SMK Negeri 5 Kendari</v>
      </c>
      <c r="F813" s="6" t="str">
        <f>IFERROR(__xludf.DUMMYFUNCTION("""COMPUTED_VALUE"""),"GESTIYA RAHMADANI")</f>
        <v>GESTIYA RAHMADANI</v>
      </c>
      <c r="G813" s="6" t="str">
        <f>IFERROR(__xludf.DUMMYFUNCTION("""COMPUTED_VALUE"""),"7405067509080001")</f>
        <v>7405067509080001</v>
      </c>
      <c r="J813" s="7" t="str">
        <f>IFERROR(__xludf.DUMMYFUNCTION("""COMPUTED_VALUE"""),"PEREMPUAN")</f>
        <v>PEREMPUAN</v>
      </c>
      <c r="K813" s="6" t="str">
        <f>IFERROR(__xludf.DUMMYFUNCTION("""COMPUTED_VALUE"""),"Lawoila, Konda, Konawe Selatan, Sulawesi Tenggara ")</f>
        <v>Lawoila, Konda, Konawe Selatan, Sulawesi Tenggara </v>
      </c>
      <c r="N813" s="8" t="s">
        <v>19</v>
      </c>
      <c r="R813" s="7" t="str">
        <f>IFERROR(__xludf.DUMMYFUNCTION("""COMPUTED_VALUE"""),"K")</f>
        <v>K</v>
      </c>
    </row>
    <row r="814" ht="22.5" customHeight="1">
      <c r="A814" s="6">
        <v>813.0</v>
      </c>
      <c r="B814" s="6" t="str">
        <f>IFERROR(__xludf.DUMMYFUNCTION("""COMPUTED_VALUE"""),"Pembuatan Roti dan Kue")</f>
        <v>Pembuatan Roti dan Kue</v>
      </c>
      <c r="C814" s="6" t="str">
        <f>IFERROR(__xludf.DUMMYFUNCTION("""COMPUTED_VALUE"""),"SMK Negeri 5 Kendari")</f>
        <v>SMK Negeri 5 Kendari</v>
      </c>
      <c r="F814" s="6" t="str">
        <f>IFERROR(__xludf.DUMMYFUNCTION("""COMPUTED_VALUE"""),"HAERULLAH TINDO")</f>
        <v>HAERULLAH TINDO</v>
      </c>
      <c r="G814" s="6" t="str">
        <f>IFERROR(__xludf.DUMMYFUNCTION("""COMPUTED_VALUE"""),"7402180802090002")</f>
        <v>7402180802090002</v>
      </c>
      <c r="J814" s="7" t="str">
        <f>IFERROR(__xludf.DUMMYFUNCTION("""COMPUTED_VALUE"""),"LAKI-LAKI")</f>
        <v>LAKI-LAKI</v>
      </c>
      <c r="K814" s="6" t="str">
        <f>IFERROR(__xludf.DUMMYFUNCTION("""COMPUTED_VALUE"""),"Kendari, Alojaya")</f>
        <v>Kendari, Alojaya</v>
      </c>
      <c r="N814" s="8" t="s">
        <v>19</v>
      </c>
      <c r="R814" s="7" t="str">
        <f>IFERROR(__xludf.DUMMYFUNCTION("""COMPUTED_VALUE"""),"K")</f>
        <v>K</v>
      </c>
    </row>
    <row r="815" ht="22.5" customHeight="1">
      <c r="A815" s="6">
        <v>814.0</v>
      </c>
      <c r="B815" s="6" t="str">
        <f>IFERROR(__xludf.DUMMYFUNCTION("""COMPUTED_VALUE"""),"Pembuatan Roti dan Kue")</f>
        <v>Pembuatan Roti dan Kue</v>
      </c>
      <c r="C815" s="6" t="str">
        <f>IFERROR(__xludf.DUMMYFUNCTION("""COMPUTED_VALUE"""),"SMK Negeri 5 Kendari")</f>
        <v>SMK Negeri 5 Kendari</v>
      </c>
      <c r="F815" s="6" t="str">
        <f>IFERROR(__xludf.DUMMYFUNCTION("""COMPUTED_VALUE"""),"HELMI TRI JUWANSYAH")</f>
        <v>HELMI TRI JUWANSYAH</v>
      </c>
      <c r="G815" s="6" t="str">
        <f>IFERROR(__xludf.DUMMYFUNCTION("""COMPUTED_VALUE"""),"7405071105080001")</f>
        <v>7405071105080001</v>
      </c>
      <c r="J815" s="7" t="str">
        <f>IFERROR(__xludf.DUMMYFUNCTION("""COMPUTED_VALUE"""),"LAKI-LAKI")</f>
        <v>LAKI-LAKI</v>
      </c>
      <c r="K815" s="6" t="str">
        <f>IFERROR(__xludf.DUMMYFUNCTION("""COMPUTED_VALUE"""),"Kec.Konda, Desa Puosu Jaya")</f>
        <v>Kec.Konda, Desa Puosu Jaya</v>
      </c>
      <c r="N815" s="8" t="s">
        <v>19</v>
      </c>
      <c r="R815" s="7" t="str">
        <f>IFERROR(__xludf.DUMMYFUNCTION("""COMPUTED_VALUE"""),"K")</f>
        <v>K</v>
      </c>
    </row>
    <row r="816" ht="22.5" customHeight="1">
      <c r="A816" s="6">
        <v>815.0</v>
      </c>
      <c r="B816" s="6" t="str">
        <f>IFERROR(__xludf.DUMMYFUNCTION("""COMPUTED_VALUE"""),"Pembuatan Roti dan Kue")</f>
        <v>Pembuatan Roti dan Kue</v>
      </c>
      <c r="C816" s="6" t="str">
        <f>IFERROR(__xludf.DUMMYFUNCTION("""COMPUTED_VALUE"""),"SMK Negeri 5 Kendari")</f>
        <v>SMK Negeri 5 Kendari</v>
      </c>
      <c r="F816" s="6" t="str">
        <f>IFERROR(__xludf.DUMMYFUNCTION("""COMPUTED_VALUE"""),"INDRIANI")</f>
        <v>INDRIANI</v>
      </c>
      <c r="G816" s="6" t="str">
        <f>IFERROR(__xludf.DUMMYFUNCTION("""COMPUTED_VALUE"""),"7405076707070001")</f>
        <v>7405076707070001</v>
      </c>
      <c r="J816" s="7" t="str">
        <f>IFERROR(__xludf.DUMMYFUNCTION("""COMPUTED_VALUE"""),"PEREMPUAN")</f>
        <v>PEREMPUAN</v>
      </c>
      <c r="K816" s="6" t="str">
        <f>IFERROR(__xludf.DUMMYFUNCTION("""COMPUTED_VALUE"""),"Desa Wonua, Kec. Konda, Konawe Selatan")</f>
        <v>Desa Wonua, Kec. Konda, Konawe Selatan</v>
      </c>
      <c r="N816" s="8" t="s">
        <v>19</v>
      </c>
      <c r="R816" s="7" t="str">
        <f>IFERROR(__xludf.DUMMYFUNCTION("""COMPUTED_VALUE"""),"K")</f>
        <v>K</v>
      </c>
    </row>
    <row r="817" ht="22.5" customHeight="1">
      <c r="A817" s="6">
        <v>816.0</v>
      </c>
      <c r="B817" s="6" t="str">
        <f>IFERROR(__xludf.DUMMYFUNCTION("""COMPUTED_VALUE"""),"Pembuatan Roti dan Kue")</f>
        <v>Pembuatan Roti dan Kue</v>
      </c>
      <c r="C817" s="6" t="str">
        <f>IFERROR(__xludf.DUMMYFUNCTION("""COMPUTED_VALUE"""),"SMK Negeri 5 Kendari")</f>
        <v>SMK Negeri 5 Kendari</v>
      </c>
      <c r="F817" s="6" t="str">
        <f>IFERROR(__xludf.DUMMYFUNCTION("""COMPUTED_VALUE"""),"KEYLA TRIANA")</f>
        <v>KEYLA TRIANA</v>
      </c>
      <c r="G817" s="6" t="str">
        <f>IFERROR(__xludf.DUMMYFUNCTION("""COMPUTED_VALUE"""),"7471036107080001")</f>
        <v>7471036107080001</v>
      </c>
      <c r="J817" s="7" t="str">
        <f>IFERROR(__xludf.DUMMYFUNCTION("""COMPUTED_VALUE"""),"PEREMPUAN")</f>
        <v>PEREMPUAN</v>
      </c>
      <c r="K817" s="6" t="str">
        <f>IFERROR(__xludf.DUMMYFUNCTION("""COMPUTED_VALUE"""),"Jl. Sanggoleo")</f>
        <v>Jl. Sanggoleo</v>
      </c>
      <c r="N817" s="8" t="s">
        <v>19</v>
      </c>
      <c r="R817" s="7" t="str">
        <f>IFERROR(__xludf.DUMMYFUNCTION("""COMPUTED_VALUE"""),"K")</f>
        <v>K</v>
      </c>
    </row>
    <row r="818" ht="22.5" customHeight="1">
      <c r="A818" s="6">
        <v>817.0</v>
      </c>
      <c r="B818" s="6" t="str">
        <f>IFERROR(__xludf.DUMMYFUNCTION("""COMPUTED_VALUE"""),"Pembuatan Roti dan Kue")</f>
        <v>Pembuatan Roti dan Kue</v>
      </c>
      <c r="C818" s="6" t="str">
        <f>IFERROR(__xludf.DUMMYFUNCTION("""COMPUTED_VALUE"""),"SMK Negeri 5 Kendari")</f>
        <v>SMK Negeri 5 Kendari</v>
      </c>
      <c r="F818" s="6" t="str">
        <f>IFERROR(__xludf.DUMMYFUNCTION("""COMPUTED_VALUE"""),"LILIHARDINA")</f>
        <v>LILIHARDINA</v>
      </c>
      <c r="G818" s="6" t="str">
        <f>IFERROR(__xludf.DUMMYFUNCTION("""COMPUTED_VALUE"""),"7471035111070004")</f>
        <v>7471035111070004</v>
      </c>
      <c r="J818" s="7" t="str">
        <f>IFERROR(__xludf.DUMMYFUNCTION("""COMPUTED_VALUE"""),"PEREMPUAN")</f>
        <v>PEREMPUAN</v>
      </c>
      <c r="K818" s="6" t="str">
        <f>IFERROR(__xludf.DUMMYFUNCTION("""COMPUTED_VALUE"""),"Hombis, Jl. Ade Irma Nasution")</f>
        <v>Hombis, Jl. Ade Irma Nasution</v>
      </c>
      <c r="N818" s="8" t="s">
        <v>19</v>
      </c>
      <c r="R818" s="7" t="str">
        <f>IFERROR(__xludf.DUMMYFUNCTION("""COMPUTED_VALUE"""),"K")</f>
        <v>K</v>
      </c>
    </row>
    <row r="819" ht="22.5" customHeight="1">
      <c r="A819" s="6">
        <v>818.0</v>
      </c>
      <c r="B819" s="6" t="str">
        <f>IFERROR(__xludf.DUMMYFUNCTION("""COMPUTED_VALUE"""),"Pembuatan Roti dan Kue")</f>
        <v>Pembuatan Roti dan Kue</v>
      </c>
      <c r="C819" s="6" t="str">
        <f>IFERROR(__xludf.DUMMYFUNCTION("""COMPUTED_VALUE"""),"SMK Negeri 5 Kendari")</f>
        <v>SMK Negeri 5 Kendari</v>
      </c>
      <c r="F819" s="6" t="str">
        <f>IFERROR(__xludf.DUMMYFUNCTION("""COMPUTED_VALUE"""),"MUHAMMAD FARKHAN AL MA'SUM")</f>
        <v>MUHAMMAD FARKHAN AL MA'SUM</v>
      </c>
      <c r="G819" s="6" t="str">
        <f>IFERROR(__xludf.DUMMYFUNCTION("""COMPUTED_VALUE"""),"3525131005070001")</f>
        <v>3525131005070001</v>
      </c>
      <c r="J819" s="7" t="str">
        <f>IFERROR(__xludf.DUMMYFUNCTION("""COMPUTED_VALUE"""),"LAKI-LAKI")</f>
        <v>LAKI-LAKI</v>
      </c>
      <c r="K819" s="6" t="str">
        <f>IFERROR(__xludf.DUMMYFUNCTION("""COMPUTED_VALUE"""),"-")</f>
        <v>-</v>
      </c>
      <c r="N819" s="8" t="s">
        <v>19</v>
      </c>
      <c r="R819" s="7" t="str">
        <f>IFERROR(__xludf.DUMMYFUNCTION("""COMPUTED_VALUE"""),"K")</f>
        <v>K</v>
      </c>
    </row>
    <row r="820" ht="22.5" customHeight="1">
      <c r="A820" s="6">
        <v>819.0</v>
      </c>
      <c r="B820" s="6" t="str">
        <f>IFERROR(__xludf.DUMMYFUNCTION("""COMPUTED_VALUE"""),"Pembuatan Roti dan Kue")</f>
        <v>Pembuatan Roti dan Kue</v>
      </c>
      <c r="C820" s="6" t="str">
        <f>IFERROR(__xludf.DUMMYFUNCTION("""COMPUTED_VALUE"""),"SMK Negeri 5 Kendari")</f>
        <v>SMK Negeri 5 Kendari</v>
      </c>
      <c r="F820" s="6" t="str">
        <f>IFERROR(__xludf.DUMMYFUNCTION("""COMPUTED_VALUE"""),"NIRMAWATI")</f>
        <v>NIRMAWATI</v>
      </c>
      <c r="G820" s="6" t="str">
        <f>IFERROR(__xludf.DUMMYFUNCTION("""COMPUTED_VALUE"""),"7405076604070002")</f>
        <v>7405076604070002</v>
      </c>
      <c r="J820" s="7" t="str">
        <f>IFERROR(__xludf.DUMMYFUNCTION("""COMPUTED_VALUE"""),"PEREMPUAN")</f>
        <v>PEREMPUAN</v>
      </c>
      <c r="K820" s="6" t="str">
        <f>IFERROR(__xludf.DUMMYFUNCTION("""COMPUTED_VALUE"""),"Desa Lawoila, Kec. Konda")</f>
        <v>Desa Lawoila, Kec. Konda</v>
      </c>
      <c r="N820" s="8" t="s">
        <v>19</v>
      </c>
      <c r="R820" s="7" t="str">
        <f>IFERROR(__xludf.DUMMYFUNCTION("""COMPUTED_VALUE"""),"K")</f>
        <v>K</v>
      </c>
    </row>
    <row r="821" ht="22.5" customHeight="1">
      <c r="A821" s="6">
        <v>820.0</v>
      </c>
      <c r="B821" s="6" t="str">
        <f>IFERROR(__xludf.DUMMYFUNCTION("""COMPUTED_VALUE"""),"Pembuatan Roti dan Kue")</f>
        <v>Pembuatan Roti dan Kue</v>
      </c>
      <c r="C821" s="6" t="str">
        <f>IFERROR(__xludf.DUMMYFUNCTION("""COMPUTED_VALUE"""),"SMK Negeri 5 Kendari")</f>
        <v>SMK Negeri 5 Kendari</v>
      </c>
      <c r="F821" s="6" t="str">
        <f>IFERROR(__xludf.DUMMYFUNCTION("""COMPUTED_VALUE"""),"NOVA KHAERANI")</f>
        <v>NOVA KHAERANI</v>
      </c>
      <c r="G821" s="6" t="str">
        <f>IFERROR(__xludf.DUMMYFUNCTION("""COMPUTED_VALUE"""),"7471096811080002")</f>
        <v>7471096811080002</v>
      </c>
      <c r="J821" s="7" t="str">
        <f>IFERROR(__xludf.DUMMYFUNCTION("""COMPUTED_VALUE"""),"PEREMPUAN")</f>
        <v>PEREMPUAN</v>
      </c>
      <c r="K821" s="6" t="str">
        <f>IFERROR(__xludf.DUMMYFUNCTION("""COMPUTED_VALUE"""),"Ranometo, Kota Bangun, Jl. Empatpuluh")</f>
        <v>Ranometo, Kota Bangun, Jl. Empatpuluh</v>
      </c>
      <c r="N821" s="8" t="s">
        <v>19</v>
      </c>
      <c r="R821" s="7" t="str">
        <f>IFERROR(__xludf.DUMMYFUNCTION("""COMPUTED_VALUE"""),"K")</f>
        <v>K</v>
      </c>
    </row>
    <row r="822" ht="22.5" customHeight="1">
      <c r="A822" s="6">
        <v>821.0</v>
      </c>
      <c r="B822" s="6" t="str">
        <f>IFERROR(__xludf.DUMMYFUNCTION("""COMPUTED_VALUE"""),"Pembuatan Roti dan Kue")</f>
        <v>Pembuatan Roti dan Kue</v>
      </c>
      <c r="C822" s="6" t="str">
        <f>IFERROR(__xludf.DUMMYFUNCTION("""COMPUTED_VALUE"""),"SMK Negeri 5 Kendari")</f>
        <v>SMK Negeri 5 Kendari</v>
      </c>
      <c r="F822" s="6" t="str">
        <f>IFERROR(__xludf.DUMMYFUNCTION("""COMPUTED_VALUE"""),"SILVIA FEBRIANTI")</f>
        <v>SILVIA FEBRIANTI</v>
      </c>
      <c r="G822" s="6" t="str">
        <f>IFERROR(__xludf.DUMMYFUNCTION("""COMPUTED_VALUE"""),"7505074102090003")</f>
        <v>7505074102090003</v>
      </c>
      <c r="J822" s="7" t="str">
        <f>IFERROR(__xludf.DUMMYFUNCTION("""COMPUTED_VALUE"""),"PEREMPUAN")</f>
        <v>PEREMPUAN</v>
      </c>
      <c r="K822" s="6" t="str">
        <f>IFERROR(__xludf.DUMMYFUNCTION("""COMPUTED_VALUE"""),"Lalowiu, Kec. Konda, Konawe Selatan")</f>
        <v>Lalowiu, Kec. Konda, Konawe Selatan</v>
      </c>
      <c r="N822" s="8" t="s">
        <v>19</v>
      </c>
      <c r="R822" s="7" t="str">
        <f>IFERROR(__xludf.DUMMYFUNCTION("""COMPUTED_VALUE"""),"K")</f>
        <v>K</v>
      </c>
    </row>
    <row r="823" ht="22.5" customHeight="1">
      <c r="A823" s="6">
        <v>822.0</v>
      </c>
      <c r="B823" s="6" t="str">
        <f>IFERROR(__xludf.DUMMYFUNCTION("""COMPUTED_VALUE"""),"Pembuatan Roti dan Kue")</f>
        <v>Pembuatan Roti dan Kue</v>
      </c>
      <c r="C823" s="6" t="str">
        <f>IFERROR(__xludf.DUMMYFUNCTION("""COMPUTED_VALUE"""),"SMK Negeri 5 Kendari")</f>
        <v>SMK Negeri 5 Kendari</v>
      </c>
      <c r="F823" s="6" t="str">
        <f>IFERROR(__xludf.DUMMYFUNCTION("""COMPUTED_VALUE"""),"WINDA  KlRANA")</f>
        <v>WINDA  KlRANA</v>
      </c>
      <c r="G823" s="6" t="str">
        <f>IFERROR(__xludf.DUMMYFUNCTION("""COMPUTED_VALUE"""),"7471054701080006")</f>
        <v>7471054701080006</v>
      </c>
      <c r="J823" s="7" t="str">
        <f>IFERROR(__xludf.DUMMYFUNCTION("""COMPUTED_VALUE"""),"PEREMPUAN")</f>
        <v>PEREMPUAN</v>
      </c>
      <c r="K823" s="6" t="str">
        <f>IFERROR(__xludf.DUMMYFUNCTION("""COMPUTED_VALUE"""),"Hombis, Jl. Ade Irma Nasution")</f>
        <v>Hombis, Jl. Ade Irma Nasution</v>
      </c>
      <c r="N823" s="8" t="s">
        <v>19</v>
      </c>
      <c r="R823" s="7" t="str">
        <f>IFERROR(__xludf.DUMMYFUNCTION("""COMPUTED_VALUE"""),"K")</f>
        <v>K</v>
      </c>
    </row>
    <row r="824" ht="22.5" customHeight="1">
      <c r="A824" s="6">
        <v>823.0</v>
      </c>
      <c r="B824" s="6" t="str">
        <f>IFERROR(__xludf.DUMMYFUNCTION("""COMPUTED_VALUE"""),"Merias Wajah")</f>
        <v>Merias Wajah</v>
      </c>
      <c r="C824" s="8" t="s">
        <v>21</v>
      </c>
      <c r="F824" s="6" t="str">
        <f>IFERROR(__xludf.DUMMYFUNCTION("""COMPUTED_VALUE"""),"Shilmi Pebrina Syarif")</f>
        <v>Shilmi Pebrina Syarif</v>
      </c>
      <c r="G824" s="13">
        <f>IFERROR(__xludf.DUMMYFUNCTION("""COMPUTED_VALUE"""),7.40519050206E15)</f>
        <v>7.40519E+15</v>
      </c>
      <c r="J824" s="7" t="str">
        <f>IFERROR(__xludf.DUMMYFUNCTION("""COMPUTED_VALUE"""),"LAKI-LAKI")</f>
        <v>LAKI-LAKI</v>
      </c>
      <c r="K824" s="6" t="str">
        <f>IFERROR(__xludf.DUMMYFUNCTION("""COMPUTED_VALUE"""),"Desa Ambesea, Dusun IV, Kec. Laeya")</f>
        <v>Desa Ambesea, Dusun IV, Kec. Laeya</v>
      </c>
      <c r="R824" s="7" t="str">
        <f>IFERROR(__xludf.DUMMYFUNCTION("""COMPUTED_VALUE"""),"K")</f>
        <v>K</v>
      </c>
    </row>
    <row r="825" ht="22.5" customHeight="1">
      <c r="A825" s="6">
        <v>824.0</v>
      </c>
      <c r="B825" s="6" t="str">
        <f>IFERROR(__xludf.DUMMYFUNCTION("""COMPUTED_VALUE"""),"Merias Wajah")</f>
        <v>Merias Wajah</v>
      </c>
      <c r="C825" s="8" t="s">
        <v>21</v>
      </c>
      <c r="F825" s="6" t="str">
        <f>IFERROR(__xludf.DUMMYFUNCTION("""COMPUTED_VALUE"""),"Waliadin")</f>
        <v>Waliadin</v>
      </c>
      <c r="G825" s="13">
        <f>IFERROR(__xludf.DUMMYFUNCTION("""COMPUTED_VALUE"""),7.405196805E15)</f>
        <v>7.4052E+15</v>
      </c>
      <c r="J825" s="7" t="str">
        <f>IFERROR(__xludf.DUMMYFUNCTION("""COMPUTED_VALUE"""),"PEREMPUAN")</f>
        <v>PEREMPUAN</v>
      </c>
      <c r="K825" s="6" t="str">
        <f>IFERROR(__xludf.DUMMYFUNCTION("""COMPUTED_VALUE"""),"Desa Wonua Kongga, Kec. Laeya")</f>
        <v>Desa Wonua Kongga, Kec. Laeya</v>
      </c>
      <c r="R825" s="7" t="str">
        <f>IFERROR(__xludf.DUMMYFUNCTION("""COMPUTED_VALUE"""),"BK")</f>
        <v>BK</v>
      </c>
    </row>
    <row r="826" ht="22.5" customHeight="1">
      <c r="A826" s="6">
        <v>825.0</v>
      </c>
      <c r="B826" s="6" t="str">
        <f>IFERROR(__xludf.DUMMYFUNCTION("""COMPUTED_VALUE"""),"Merias Wajah")</f>
        <v>Merias Wajah</v>
      </c>
      <c r="C826" s="8" t="s">
        <v>21</v>
      </c>
      <c r="F826" s="6" t="str">
        <f>IFERROR(__xludf.DUMMYFUNCTION("""COMPUTED_VALUE"""),"Ulfa Safitri")</f>
        <v>Ulfa Safitri</v>
      </c>
      <c r="G826" s="13">
        <f>IFERROR(__xludf.DUMMYFUNCTION("""COMPUTED_VALUE"""),7.40519410786002E15)</f>
        <v>7.40519E+15</v>
      </c>
      <c r="J826" s="7" t="str">
        <f>IFERROR(__xludf.DUMMYFUNCTION("""COMPUTED_VALUE"""),"PEREMPUAN")</f>
        <v>PEREMPUAN</v>
      </c>
      <c r="K826" s="6" t="str">
        <f>IFERROR(__xludf.DUMMYFUNCTION("""COMPUTED_VALUE"""),"Desa Lambakara, Kec. Laeya")</f>
        <v>Desa Lambakara, Kec. Laeya</v>
      </c>
      <c r="R826" s="7" t="str">
        <f>IFERROR(__xludf.DUMMYFUNCTION("""COMPUTED_VALUE"""),"K")</f>
        <v>K</v>
      </c>
    </row>
    <row r="827" ht="22.5" customHeight="1">
      <c r="A827" s="6">
        <v>826.0</v>
      </c>
      <c r="B827" s="6" t="str">
        <f>IFERROR(__xludf.DUMMYFUNCTION("""COMPUTED_VALUE"""),"Merias Wajah")</f>
        <v>Merias Wajah</v>
      </c>
      <c r="C827" s="8" t="s">
        <v>21</v>
      </c>
      <c r="F827" s="6" t="str">
        <f>IFERROR(__xludf.DUMMYFUNCTION("""COMPUTED_VALUE"""),"Tugi Nurhidayah")</f>
        <v>Tugi Nurhidayah</v>
      </c>
      <c r="G827" s="13">
        <f>IFERROR(__xludf.DUMMYFUNCTION("""COMPUTED_VALUE"""),7.40519100503E15)</f>
        <v>7.40519E+15</v>
      </c>
      <c r="J827" s="7" t="str">
        <f>IFERROR(__xludf.DUMMYFUNCTION("""COMPUTED_VALUE"""),"LAKI-LAKI")</f>
        <v>LAKI-LAKI</v>
      </c>
      <c r="K827" s="6" t="str">
        <f>IFERROR(__xludf.DUMMYFUNCTION("""COMPUTED_VALUE"""),"Desa Lamong Jaya, Kec. Laeya")</f>
        <v>Desa Lamong Jaya, Kec. Laeya</v>
      </c>
      <c r="R827" s="7" t="str">
        <f>IFERROR(__xludf.DUMMYFUNCTION("""COMPUTED_VALUE"""),"K")</f>
        <v>K</v>
      </c>
    </row>
    <row r="828" ht="22.5" customHeight="1">
      <c r="A828" s="6">
        <v>827.0</v>
      </c>
      <c r="B828" s="6" t="str">
        <f>IFERROR(__xludf.DUMMYFUNCTION("""COMPUTED_VALUE"""),"Merias Wajah")</f>
        <v>Merias Wajah</v>
      </c>
      <c r="C828" s="8" t="s">
        <v>21</v>
      </c>
      <c r="F828" s="6" t="str">
        <f>IFERROR(__xludf.DUMMYFUNCTION("""COMPUTED_VALUE"""),"Sari Izzanty")</f>
        <v>Sari Izzanty</v>
      </c>
      <c r="G828" s="13">
        <f>IFERROR(__xludf.DUMMYFUNCTION("""COMPUTED_VALUE"""),7.40504580989E15)</f>
        <v>7.40505E+15</v>
      </c>
      <c r="J828" s="7" t="str">
        <f>IFERROR(__xludf.DUMMYFUNCTION("""COMPUTED_VALUE"""),"PEREMPUAN")</f>
        <v>PEREMPUAN</v>
      </c>
      <c r="K828" s="6" t="str">
        <f>IFERROR(__xludf.DUMMYFUNCTION("""COMPUTED_VALUE"""),"Desa Anggondara, Kec. Palangga")</f>
        <v>Desa Anggondara, Kec. Palangga</v>
      </c>
      <c r="R828" s="7" t="str">
        <f>IFERROR(__xludf.DUMMYFUNCTION("""COMPUTED_VALUE"""),"K")</f>
        <v>K</v>
      </c>
    </row>
    <row r="829" ht="22.5" customHeight="1">
      <c r="A829" s="6">
        <v>828.0</v>
      </c>
      <c r="B829" s="6" t="str">
        <f>IFERROR(__xludf.DUMMYFUNCTION("""COMPUTED_VALUE"""),"Merias Wajah")</f>
        <v>Merias Wajah</v>
      </c>
      <c r="C829" s="8" t="s">
        <v>21</v>
      </c>
      <c r="F829" s="6" t="str">
        <f>IFERROR(__xludf.DUMMYFUNCTION("""COMPUTED_VALUE"""),"Siti Mahmudah")</f>
        <v>Siti Mahmudah</v>
      </c>
      <c r="G829" s="13">
        <f>IFERROR(__xludf.DUMMYFUNCTION("""COMPUTED_VALUE"""),7.40519620776E15)</f>
        <v>7.4052E+15</v>
      </c>
      <c r="J829" s="7" t="str">
        <f>IFERROR(__xludf.DUMMYFUNCTION("""COMPUTED_VALUE"""),"PEREMPUAN")</f>
        <v>PEREMPUAN</v>
      </c>
      <c r="K829" s="6" t="str">
        <f>IFERROR(__xludf.DUMMYFUNCTION("""COMPUTED_VALUE"""),"Lrg BLK, Desa Lamong Jaya, Kec. Laeya")</f>
        <v>Lrg BLK, Desa Lamong Jaya, Kec. Laeya</v>
      </c>
      <c r="R829" s="7" t="str">
        <f>IFERROR(__xludf.DUMMYFUNCTION("""COMPUTED_VALUE"""),"K")</f>
        <v>K</v>
      </c>
    </row>
    <row r="830" ht="22.5" customHeight="1">
      <c r="A830" s="6">
        <v>829.0</v>
      </c>
      <c r="B830" s="6" t="str">
        <f>IFERROR(__xludf.DUMMYFUNCTION("""COMPUTED_VALUE"""),"Merias Wajah")</f>
        <v>Merias Wajah</v>
      </c>
      <c r="C830" s="8" t="s">
        <v>21</v>
      </c>
      <c r="F830" s="6" t="str">
        <f>IFERROR(__xludf.DUMMYFUNCTION("""COMPUTED_VALUE"""),"Mirna Yanti")</f>
        <v>Mirna Yanti</v>
      </c>
      <c r="G830" s="13">
        <f>IFERROR(__xludf.DUMMYFUNCTION("""COMPUTED_VALUE"""),7.40519410786003E15)</f>
        <v>7.40519E+15</v>
      </c>
      <c r="J830" s="7" t="str">
        <f>IFERROR(__xludf.DUMMYFUNCTION("""COMPUTED_VALUE"""),"PEREMPUAN")</f>
        <v>PEREMPUAN</v>
      </c>
      <c r="K830" s="6" t="str">
        <f>IFERROR(__xludf.DUMMYFUNCTION("""COMPUTED_VALUE"""),"Desa Lambakara, Kec. Laeya")</f>
        <v>Desa Lambakara, Kec. Laeya</v>
      </c>
      <c r="R830" s="7" t="str">
        <f>IFERROR(__xludf.DUMMYFUNCTION("""COMPUTED_VALUE"""),"K")</f>
        <v>K</v>
      </c>
    </row>
    <row r="831" ht="22.5" customHeight="1">
      <c r="A831" s="6">
        <v>830.0</v>
      </c>
      <c r="B831" s="6" t="str">
        <f>IFERROR(__xludf.DUMMYFUNCTION("""COMPUTED_VALUE"""),"Merias Wajah")</f>
        <v>Merias Wajah</v>
      </c>
      <c r="C831" s="8" t="s">
        <v>21</v>
      </c>
      <c r="F831" s="6" t="str">
        <f>IFERROR(__xludf.DUMMYFUNCTION("""COMPUTED_VALUE"""),"Marsa Wulandari")</f>
        <v>Marsa Wulandari</v>
      </c>
      <c r="G831" s="13">
        <f>IFERROR(__xludf.DUMMYFUNCTION("""COMPUTED_VALUE"""),7.40506410306E15)</f>
        <v>7.40506E+15</v>
      </c>
      <c r="J831" s="7" t="str">
        <f>IFERROR(__xludf.DUMMYFUNCTION("""COMPUTED_VALUE"""),"PEREMPUAN")</f>
        <v>PEREMPUAN</v>
      </c>
      <c r="K831" s="6" t="str">
        <f>IFERROR(__xludf.DUMMYFUNCTION("""COMPUTED_VALUE"""),"Desa Aoreo, Kec. Lainea")</f>
        <v>Desa Aoreo, Kec. Lainea</v>
      </c>
      <c r="R831" s="7" t="str">
        <f>IFERROR(__xludf.DUMMYFUNCTION("""COMPUTED_VALUE"""),"K")</f>
        <v>K</v>
      </c>
    </row>
    <row r="832" ht="22.5" customHeight="1">
      <c r="A832" s="6">
        <v>831.0</v>
      </c>
      <c r="B832" s="6" t="str">
        <f>IFERROR(__xludf.DUMMYFUNCTION("""COMPUTED_VALUE"""),"Merias Wajah")</f>
        <v>Merias Wajah</v>
      </c>
      <c r="C832" s="8" t="s">
        <v>21</v>
      </c>
      <c r="F832" s="6" t="str">
        <f>IFERROR(__xludf.DUMMYFUNCTION("""COMPUTED_VALUE"""),"Ice Yustika")</f>
        <v>Ice Yustika</v>
      </c>
      <c r="G832" s="13">
        <f>IFERROR(__xludf.DUMMYFUNCTION("""COMPUTED_VALUE"""),7.40519491201E15)</f>
        <v>7.40519E+15</v>
      </c>
      <c r="J832" s="7" t="str">
        <f>IFERROR(__xludf.DUMMYFUNCTION("""COMPUTED_VALUE"""),"PEREMPUAN")</f>
        <v>PEREMPUAN</v>
      </c>
      <c r="K832" s="6" t="str">
        <f>IFERROR(__xludf.DUMMYFUNCTION("""COMPUTED_VALUE"""),"Desa Buke, Kec. Buke")</f>
        <v>Desa Buke, Kec. Buke</v>
      </c>
      <c r="R832" s="7" t="str">
        <f>IFERROR(__xludf.DUMMYFUNCTION("""COMPUTED_VALUE"""),"K")</f>
        <v>K</v>
      </c>
    </row>
    <row r="833" ht="22.5" customHeight="1">
      <c r="A833" s="6">
        <v>832.0</v>
      </c>
      <c r="B833" s="6" t="str">
        <f>IFERROR(__xludf.DUMMYFUNCTION("""COMPUTED_VALUE"""),"Merias Wajah")</f>
        <v>Merias Wajah</v>
      </c>
      <c r="C833" s="8" t="s">
        <v>21</v>
      </c>
      <c r="F833" s="6" t="str">
        <f>IFERROR(__xludf.DUMMYFUNCTION("""COMPUTED_VALUE"""),"Fransiska Aulia")</f>
        <v>Fransiska Aulia</v>
      </c>
      <c r="G833" s="13">
        <f>IFERROR(__xludf.DUMMYFUNCTION("""COMPUTED_VALUE"""),7.40504570208E15)</f>
        <v>7.40505E+15</v>
      </c>
      <c r="J833" s="7" t="str">
        <f>IFERROR(__xludf.DUMMYFUNCTION("""COMPUTED_VALUE"""),"PEREMPUAN")</f>
        <v>PEREMPUAN</v>
      </c>
      <c r="K833" s="6" t="str">
        <f>IFERROR(__xludf.DUMMYFUNCTION("""COMPUTED_VALUE"""),"Desa Anggondara, Kec. Palangga")</f>
        <v>Desa Anggondara, Kec. Palangga</v>
      </c>
      <c r="R833" s="7" t="str">
        <f>IFERROR(__xludf.DUMMYFUNCTION("""COMPUTED_VALUE"""),"K")</f>
        <v>K</v>
      </c>
    </row>
    <row r="834" ht="22.5" customHeight="1">
      <c r="A834" s="6">
        <v>833.0</v>
      </c>
      <c r="B834" s="6" t="str">
        <f>IFERROR(__xludf.DUMMYFUNCTION("""COMPUTED_VALUE"""),"Merias Wajah")</f>
        <v>Merias Wajah</v>
      </c>
      <c r="C834" s="8" t="s">
        <v>21</v>
      </c>
      <c r="F834" s="6" t="str">
        <f>IFERROR(__xludf.DUMMYFUNCTION("""COMPUTED_VALUE"""),"Dwi Indah Prasetyani")</f>
        <v>Dwi Indah Prasetyani</v>
      </c>
      <c r="G834" s="13">
        <f>IFERROR(__xludf.DUMMYFUNCTION("""COMPUTED_VALUE"""),7.40519410702001E15)</f>
        <v>7.40519E+15</v>
      </c>
      <c r="J834" s="7" t="str">
        <f>IFERROR(__xludf.DUMMYFUNCTION("""COMPUTED_VALUE"""),"PEREMPUAN")</f>
        <v>PEREMPUAN</v>
      </c>
      <c r="K834" s="6" t="str">
        <f>IFERROR(__xludf.DUMMYFUNCTION("""COMPUTED_VALUE"""),"Desa Lambakara, Kec. Laeya")</f>
        <v>Desa Lambakara, Kec. Laeya</v>
      </c>
      <c r="R834" s="7" t="str">
        <f>IFERROR(__xludf.DUMMYFUNCTION("""COMPUTED_VALUE"""),"K")</f>
        <v>K</v>
      </c>
    </row>
    <row r="835" ht="22.5" customHeight="1">
      <c r="A835" s="6">
        <v>834.0</v>
      </c>
      <c r="B835" s="6" t="str">
        <f>IFERROR(__xludf.DUMMYFUNCTION("""COMPUTED_VALUE"""),"Merias Wajah")</f>
        <v>Merias Wajah</v>
      </c>
      <c r="C835" s="8" t="s">
        <v>21</v>
      </c>
      <c r="F835" s="6" t="str">
        <f>IFERROR(__xludf.DUMMYFUNCTION("""COMPUTED_VALUE"""),"Chici Fatmala Dewi")</f>
        <v>Chici Fatmala Dewi</v>
      </c>
      <c r="G835" s="13">
        <f>IFERROR(__xludf.DUMMYFUNCTION("""COMPUTED_VALUE"""),7.40519660504E15)</f>
        <v>7.4052E+15</v>
      </c>
      <c r="J835" s="7" t="str">
        <f>IFERROR(__xludf.DUMMYFUNCTION("""COMPUTED_VALUE"""),"PEREMPUAN")</f>
        <v>PEREMPUAN</v>
      </c>
      <c r="K835" s="6" t="str">
        <f>IFERROR(__xludf.DUMMYFUNCTION("""COMPUTED_VALUE"""),"Kel. Punggaluku, Kec. Laeya")</f>
        <v>Kel. Punggaluku, Kec. Laeya</v>
      </c>
      <c r="R835" s="7" t="str">
        <f>IFERROR(__xludf.DUMMYFUNCTION("""COMPUTED_VALUE"""),"BK")</f>
        <v>BK</v>
      </c>
    </row>
    <row r="836" ht="22.5" customHeight="1">
      <c r="A836" s="6">
        <v>835.0</v>
      </c>
      <c r="B836" s="6" t="str">
        <f>IFERROR(__xludf.DUMMYFUNCTION("""COMPUTED_VALUE"""),"Merias Wajah")</f>
        <v>Merias Wajah</v>
      </c>
      <c r="C836" s="8" t="s">
        <v>21</v>
      </c>
      <c r="F836" s="6" t="str">
        <f>IFERROR(__xludf.DUMMYFUNCTION("""COMPUTED_VALUE"""),"Cindy Ayu Rahmadany")</f>
        <v>Cindy Ayu Rahmadany</v>
      </c>
      <c r="G836" s="13">
        <f>IFERROR(__xludf.DUMMYFUNCTION("""COMPUTED_VALUE"""),7.405196505E15)</f>
        <v>7.4052E+15</v>
      </c>
      <c r="J836" s="7" t="str">
        <f>IFERROR(__xludf.DUMMYFUNCTION("""COMPUTED_VALUE"""),"PEREMPUAN")</f>
        <v>PEREMPUAN</v>
      </c>
      <c r="K836" s="6" t="str">
        <f>IFERROR(__xludf.DUMMYFUNCTION("""COMPUTED_VALUE"""),"Kel. Punggaluku, Kec. Laeya")</f>
        <v>Kel. Punggaluku, Kec. Laeya</v>
      </c>
      <c r="R836" s="7" t="str">
        <f>IFERROR(__xludf.DUMMYFUNCTION("""COMPUTED_VALUE"""),"K")</f>
        <v>K</v>
      </c>
    </row>
    <row r="837" ht="22.5" customHeight="1">
      <c r="A837" s="6">
        <v>836.0</v>
      </c>
      <c r="B837" s="6" t="str">
        <f>IFERROR(__xludf.DUMMYFUNCTION("""COMPUTED_VALUE"""),"Merias Wajah")</f>
        <v>Merias Wajah</v>
      </c>
      <c r="C837" s="8" t="s">
        <v>21</v>
      </c>
      <c r="F837" s="6" t="str">
        <f>IFERROR(__xludf.DUMMYFUNCTION("""COMPUTED_VALUE"""),"Ambarwati")</f>
        <v>Ambarwati</v>
      </c>
      <c r="G837" s="13">
        <f>IFERROR(__xludf.DUMMYFUNCTION("""COMPUTED_VALUE"""),7.40504661088E15)</f>
        <v>7.40505E+15</v>
      </c>
      <c r="J837" s="7" t="str">
        <f>IFERROR(__xludf.DUMMYFUNCTION("""COMPUTED_VALUE"""),"PEREMPUAN")</f>
        <v>PEREMPUAN</v>
      </c>
      <c r="K837" s="6" t="str">
        <f>IFERROR(__xludf.DUMMYFUNCTION("""COMPUTED_VALUE"""),"Desa Wawouru, Kec. Palangga")</f>
        <v>Desa Wawouru, Kec. Palangga</v>
      </c>
      <c r="R837" s="7" t="str">
        <f>IFERROR(__xludf.DUMMYFUNCTION("""COMPUTED_VALUE"""),"K")</f>
        <v>K</v>
      </c>
    </row>
    <row r="838" ht="22.5" customHeight="1">
      <c r="A838" s="6">
        <v>837.0</v>
      </c>
      <c r="B838" s="6" t="str">
        <f>IFERROR(__xludf.DUMMYFUNCTION("""COMPUTED_VALUE"""),"Merias Wajah")</f>
        <v>Merias Wajah</v>
      </c>
      <c r="C838" s="8" t="s">
        <v>21</v>
      </c>
      <c r="F838" s="6" t="str">
        <f>IFERROR(__xludf.DUMMYFUNCTION("""COMPUTED_VALUE"""),"Aulia Ayu Pika Nanda")</f>
        <v>Aulia Ayu Pika Nanda</v>
      </c>
      <c r="G838" s="13">
        <f>IFERROR(__xludf.DUMMYFUNCTION("""COMPUTED_VALUE"""),7.40519640106E15)</f>
        <v>7.4052E+15</v>
      </c>
      <c r="J838" s="7" t="str">
        <f>IFERROR(__xludf.DUMMYFUNCTION("""COMPUTED_VALUE"""),"PEREMPUAN")</f>
        <v>PEREMPUAN</v>
      </c>
      <c r="K838" s="6" t="str">
        <f>IFERROR(__xludf.DUMMYFUNCTION("""COMPUTED_VALUE"""),"Kel. Ambalodangge, Kec. Laeya")</f>
        <v>Kel. Ambalodangge, Kec. Laeya</v>
      </c>
      <c r="R838" s="7" t="str">
        <f>IFERROR(__xludf.DUMMYFUNCTION("""COMPUTED_VALUE"""),"BK")</f>
        <v>BK</v>
      </c>
    </row>
    <row r="839" ht="22.5" customHeight="1">
      <c r="A839" s="6">
        <v>838.0</v>
      </c>
      <c r="B839" s="6" t="str">
        <f>IFERROR(__xludf.DUMMYFUNCTION("""COMPUTED_VALUE"""),"Merias Wajah")</f>
        <v>Merias Wajah</v>
      </c>
      <c r="C839" s="8" t="s">
        <v>21</v>
      </c>
      <c r="F839" s="6" t="str">
        <f>IFERROR(__xludf.DUMMYFUNCTION("""COMPUTED_VALUE"""),"Ayu Wulandari")</f>
        <v>Ayu Wulandari</v>
      </c>
      <c r="G839" s="13">
        <f>IFERROR(__xludf.DUMMYFUNCTION("""COMPUTED_VALUE"""),7.40519560297E15)</f>
        <v>7.4052E+15</v>
      </c>
      <c r="J839" s="7" t="str">
        <f>IFERROR(__xludf.DUMMYFUNCTION("""COMPUTED_VALUE"""),"PEREMPUAN")</f>
        <v>PEREMPUAN</v>
      </c>
      <c r="K839" s="6" t="str">
        <f>IFERROR(__xludf.DUMMYFUNCTION("""COMPUTED_VALUE"""),"Desa Lerepako, Kec. Laeya")</f>
        <v>Desa Lerepako, Kec. Laeya</v>
      </c>
      <c r="R839" s="7" t="str">
        <f>IFERROR(__xludf.DUMMYFUNCTION("""COMPUTED_VALUE"""),"K")</f>
        <v>K</v>
      </c>
    </row>
    <row r="840" ht="22.5" customHeight="1">
      <c r="A840" s="6">
        <v>839.0</v>
      </c>
      <c r="B840" s="6" t="str">
        <f>IFERROR(__xludf.DUMMYFUNCTION("""COMPUTED_VALUE"""),"Merias Wajah")</f>
        <v>Merias Wajah</v>
      </c>
      <c r="C840" s="8" t="s">
        <v>22</v>
      </c>
      <c r="F840" s="6" t="str">
        <f>IFERROR(__xludf.DUMMYFUNCTION("""COMPUTED_VALUE"""),"Alfira Rusmaya Bin Hamid")</f>
        <v>Alfira Rusmaya Bin Hamid</v>
      </c>
      <c r="G840" s="6" t="str">
        <f>IFERROR(__xludf.DUMMYFUNCTION("""COMPUTED_VALUE"""),"7471044607060001")</f>
        <v>7471044607060001</v>
      </c>
      <c r="J840" s="7" t="str">
        <f>IFERROR(__xludf.DUMMYFUNCTION("""COMPUTED_VALUE"""),"PEREMPUAN")</f>
        <v>PEREMPUAN</v>
      </c>
      <c r="K840" s="6" t="str">
        <f>IFERROR(__xludf.DUMMYFUNCTION("""COMPUTED_VALUE"""),"Anawai, Kec. Wua-Wua, Kota Kendari")</f>
        <v>Anawai, Kec. Wua-Wua, Kota Kendari</v>
      </c>
      <c r="R840" s="7" t="str">
        <f>IFERROR(__xludf.DUMMYFUNCTION("""COMPUTED_VALUE"""),"K")</f>
        <v>K</v>
      </c>
    </row>
    <row r="841" ht="22.5" customHeight="1">
      <c r="A841" s="6">
        <v>840.0</v>
      </c>
      <c r="B841" s="6" t="str">
        <f>IFERROR(__xludf.DUMMYFUNCTION("""COMPUTED_VALUE"""),"Merias Wajah")</f>
        <v>Merias Wajah</v>
      </c>
      <c r="C841" s="8" t="s">
        <v>22</v>
      </c>
      <c r="F841" s="6" t="str">
        <f>IFERROR(__xludf.DUMMYFUNCTION("""COMPUTED_VALUE"""),"Anggi Andriani")</f>
        <v>Anggi Andriani</v>
      </c>
      <c r="G841" s="6" t="str">
        <f>IFERROR(__xludf.DUMMYFUNCTION("""COMPUTED_VALUE"""),"7471064305010001")</f>
        <v>7471064305010001</v>
      </c>
      <c r="J841" s="7" t="str">
        <f>IFERROR(__xludf.DUMMYFUNCTION("""COMPUTED_VALUE"""),"PEREMPUAN")</f>
        <v>PEREMPUAN</v>
      </c>
      <c r="K841" s="6" t="str">
        <f>IFERROR(__xludf.DUMMYFUNCTION("""COMPUTED_VALUE"""),"Desa Alosi, Kec. Kolono , Kab.Konawe Selatan")</f>
        <v>Desa Alosi, Kec. Kolono , Kab.Konawe Selatan</v>
      </c>
      <c r="R841" s="7" t="str">
        <f>IFERROR(__xludf.DUMMYFUNCTION("""COMPUTED_VALUE"""),"K")</f>
        <v>K</v>
      </c>
    </row>
    <row r="842" ht="22.5" customHeight="1">
      <c r="A842" s="6">
        <v>841.0</v>
      </c>
      <c r="B842" s="6" t="str">
        <f>IFERROR(__xludf.DUMMYFUNCTION("""COMPUTED_VALUE"""),"Merias Wajah")</f>
        <v>Merias Wajah</v>
      </c>
      <c r="C842" s="8" t="s">
        <v>22</v>
      </c>
      <c r="F842" s="6" t="str">
        <f>IFERROR(__xludf.DUMMYFUNCTION("""COMPUTED_VALUE"""),"Artiani")</f>
        <v>Artiani</v>
      </c>
      <c r="G842" s="6" t="str">
        <f>IFERROR(__xludf.DUMMYFUNCTION("""COMPUTED_VALUE"""),"7471064407030001")</f>
        <v>7471064407030001</v>
      </c>
      <c r="J842" s="7" t="str">
        <f>IFERROR(__xludf.DUMMYFUNCTION("""COMPUTED_VALUE"""),"PEREMPUAN")</f>
        <v>PEREMPUAN</v>
      </c>
      <c r="K842" s="6" t="str">
        <f>IFERROR(__xludf.DUMMYFUNCTION("""COMPUTED_VALUE"""),"Desa Alosi, Kec. Kolono , Kab.Konawe Selatan")</f>
        <v>Desa Alosi, Kec. Kolono , Kab.Konawe Selatan</v>
      </c>
      <c r="R842" s="7" t="str">
        <f>IFERROR(__xludf.DUMMYFUNCTION("""COMPUTED_VALUE"""),"K")</f>
        <v>K</v>
      </c>
    </row>
    <row r="843" ht="22.5" customHeight="1">
      <c r="A843" s="6">
        <v>842.0</v>
      </c>
      <c r="B843" s="6" t="str">
        <f>IFERROR(__xludf.DUMMYFUNCTION("""COMPUTED_VALUE"""),"Merias Wajah")</f>
        <v>Merias Wajah</v>
      </c>
      <c r="C843" s="8" t="s">
        <v>22</v>
      </c>
      <c r="F843" s="6" t="str">
        <f>IFERROR(__xludf.DUMMYFUNCTION("""COMPUTED_VALUE"""),"Dinda Cahyani")</f>
        <v>Dinda Cahyani</v>
      </c>
      <c r="G843" s="6" t="str">
        <f>IFERROR(__xludf.DUMMYFUNCTION("""COMPUTED_VALUE"""),"7402054807020002")</f>
        <v>7402054807020002</v>
      </c>
      <c r="J843" s="7" t="str">
        <f>IFERROR(__xludf.DUMMYFUNCTION("""COMPUTED_VALUE"""),"PEREMPUAN")</f>
        <v>PEREMPUAN</v>
      </c>
      <c r="K843" s="6" t="str">
        <f>IFERROR(__xludf.DUMMYFUNCTION("""COMPUTED_VALUE"""),"Desa Bao Bao, Kec. Sampara, Kab.Konawe")</f>
        <v>Desa Bao Bao, Kec. Sampara, Kab.Konawe</v>
      </c>
      <c r="R843" s="7" t="str">
        <f>IFERROR(__xludf.DUMMYFUNCTION("""COMPUTED_VALUE"""),"K")</f>
        <v>K</v>
      </c>
    </row>
    <row r="844" ht="22.5" customHeight="1">
      <c r="A844" s="6">
        <v>843.0</v>
      </c>
      <c r="B844" s="6" t="str">
        <f>IFERROR(__xludf.DUMMYFUNCTION("""COMPUTED_VALUE"""),"Merias Wajah")</f>
        <v>Merias Wajah</v>
      </c>
      <c r="C844" s="8" t="s">
        <v>22</v>
      </c>
      <c r="F844" s="6" t="str">
        <f>IFERROR(__xludf.DUMMYFUNCTION("""COMPUTED_VALUE"""),"Jelita Silaban")</f>
        <v>Jelita Silaban</v>
      </c>
      <c r="G844" s="6" t="str">
        <f>IFERROR(__xludf.DUMMYFUNCTION("""COMPUTED_VALUE"""),"7405026102040001")</f>
        <v>7405026102040001</v>
      </c>
      <c r="J844" s="7" t="str">
        <f>IFERROR(__xludf.DUMMYFUNCTION("""COMPUTED_VALUE"""),"PEREMPUAN")</f>
        <v>PEREMPUAN</v>
      </c>
      <c r="K844" s="6" t="str">
        <f>IFERROR(__xludf.DUMMYFUNCTION("""COMPUTED_VALUE"""),"Desa Lamoeri, Kec. Angata, Kab.Konawe Selatan")</f>
        <v>Desa Lamoeri, Kec. Angata, Kab.Konawe Selatan</v>
      </c>
      <c r="R844" s="7" t="str">
        <f>IFERROR(__xludf.DUMMYFUNCTION("""COMPUTED_VALUE"""),"K")</f>
        <v>K</v>
      </c>
    </row>
    <row r="845" ht="22.5" customHeight="1">
      <c r="A845" s="6">
        <v>844.0</v>
      </c>
      <c r="B845" s="6" t="str">
        <f>IFERROR(__xludf.DUMMYFUNCTION("""COMPUTED_VALUE"""),"Merias Wajah")</f>
        <v>Merias Wajah</v>
      </c>
      <c r="C845" s="8" t="s">
        <v>22</v>
      </c>
      <c r="F845" s="6" t="str">
        <f>IFERROR(__xludf.DUMMYFUNCTION("""COMPUTED_VALUE"""),"Mika Mona")</f>
        <v>Mika Mona</v>
      </c>
      <c r="G845" s="6" t="str">
        <f>IFERROR(__xludf.DUMMYFUNCTION("""COMPUTED_VALUE"""),"7405115806030002")</f>
        <v>7405115806030002</v>
      </c>
      <c r="J845" s="7" t="str">
        <f>IFERROR(__xludf.DUMMYFUNCTION("""COMPUTED_VALUE"""),"PEREMPUAN")</f>
        <v>PEREMPUAN</v>
      </c>
      <c r="K845" s="6" t="str">
        <f>IFERROR(__xludf.DUMMYFUNCTION("""COMPUTED_VALUE"""),"Desa Batu Jaya, Kec. Laonti, Kab.Konawe selatan")</f>
        <v>Desa Batu Jaya, Kec. Laonti, Kab.Konawe selatan</v>
      </c>
      <c r="R845" s="7" t="str">
        <f>IFERROR(__xludf.DUMMYFUNCTION("""COMPUTED_VALUE"""),"K")</f>
        <v>K</v>
      </c>
    </row>
    <row r="846" ht="22.5" customHeight="1">
      <c r="A846" s="6">
        <v>845.0</v>
      </c>
      <c r="B846" s="6" t="str">
        <f>IFERROR(__xludf.DUMMYFUNCTION("""COMPUTED_VALUE"""),"Merias Wajah")</f>
        <v>Merias Wajah</v>
      </c>
      <c r="C846" s="8" t="s">
        <v>22</v>
      </c>
      <c r="F846" s="6" t="str">
        <f>IFERROR(__xludf.DUMMYFUNCTION("""COMPUTED_VALUE"""),"Rada Deviana Safitri Al-Hasni")</f>
        <v>Rada Deviana Safitri Al-Hasni</v>
      </c>
      <c r="G846" s="6" t="str">
        <f>IFERROR(__xludf.DUMMYFUNCTION("""COMPUTED_VALUE"""),"7402036112980002")</f>
        <v>7402036112980002</v>
      </c>
      <c r="J846" s="7" t="str">
        <f>IFERROR(__xludf.DUMMYFUNCTION("""COMPUTED_VALUE"""),"PEREMPUAN")</f>
        <v>PEREMPUAN</v>
      </c>
      <c r="K846" s="6" t="str">
        <f>IFERROR(__xludf.DUMMYFUNCTION("""COMPUTED_VALUE"""),"Kel.Konawe, Kec. Konawe, Kab.konawe")</f>
        <v>Kel.Konawe, Kec. Konawe, Kab.konawe</v>
      </c>
      <c r="R846" s="7" t="str">
        <f>IFERROR(__xludf.DUMMYFUNCTION("""COMPUTED_VALUE"""),"K")</f>
        <v>K</v>
      </c>
    </row>
    <row r="847" ht="22.5" customHeight="1">
      <c r="A847" s="6">
        <v>846.0</v>
      </c>
      <c r="B847" s="6" t="str">
        <f>IFERROR(__xludf.DUMMYFUNCTION("""COMPUTED_VALUE"""),"Merias Wajah")</f>
        <v>Merias Wajah</v>
      </c>
      <c r="C847" s="8" t="s">
        <v>22</v>
      </c>
      <c r="F847" s="6" t="str">
        <f>IFERROR(__xludf.DUMMYFUNCTION("""COMPUTED_VALUE"""),"Rezky Pebriani Latif")</f>
        <v>Rezky Pebriani Latif</v>
      </c>
      <c r="G847" s="6" t="str">
        <f>IFERROR(__xludf.DUMMYFUNCTION("""COMPUTED_VALUE"""),"7471016702030002")</f>
        <v>7471016702030002</v>
      </c>
      <c r="J847" s="7" t="str">
        <f>IFERROR(__xludf.DUMMYFUNCTION("""COMPUTED_VALUE"""),"PEREMPUAN")</f>
        <v>PEREMPUAN</v>
      </c>
      <c r="K847" s="6" t="str">
        <f>IFERROR(__xludf.DUMMYFUNCTION("""COMPUTED_VALUE"""),"Desa Aopa, Kec. Angata, Kab.Konawe Selatan")</f>
        <v>Desa Aopa, Kec. Angata, Kab.Konawe Selatan</v>
      </c>
      <c r="R847" s="7" t="str">
        <f>IFERROR(__xludf.DUMMYFUNCTION("""COMPUTED_VALUE"""),"K")</f>
        <v>K</v>
      </c>
    </row>
    <row r="848" ht="22.5" customHeight="1">
      <c r="A848" s="6">
        <v>847.0</v>
      </c>
      <c r="B848" s="6" t="str">
        <f>IFERROR(__xludf.DUMMYFUNCTION("""COMPUTED_VALUE"""),"Merias Wajah")</f>
        <v>Merias Wajah</v>
      </c>
      <c r="C848" s="8" t="s">
        <v>22</v>
      </c>
      <c r="F848" s="6" t="str">
        <f>IFERROR(__xludf.DUMMYFUNCTION("""COMPUTED_VALUE"""),"Syarifah Ananda Putri")</f>
        <v>Syarifah Ananda Putri</v>
      </c>
      <c r="G848" s="6" t="str">
        <f>IFERROR(__xludf.DUMMYFUNCTION("""COMPUTED_VALUE"""),"7471066209030002")</f>
        <v>7471066209030002</v>
      </c>
      <c r="J848" s="7" t="str">
        <f>IFERROR(__xludf.DUMMYFUNCTION("""COMPUTED_VALUE"""),"PEREMPUAN")</f>
        <v>PEREMPUAN</v>
      </c>
      <c r="K848" s="6" t="str">
        <f>IFERROR(__xludf.DUMMYFUNCTION("""COMPUTED_VALUE"""),"Kel.Sambuli, Kec. Abeli, Kota Kendari")</f>
        <v>Kel.Sambuli, Kec. Abeli, Kota Kendari</v>
      </c>
      <c r="R848" s="7" t="str">
        <f>IFERROR(__xludf.DUMMYFUNCTION("""COMPUTED_VALUE"""),"K")</f>
        <v>K</v>
      </c>
    </row>
    <row r="849" ht="22.5" customHeight="1">
      <c r="A849" s="6">
        <v>848.0</v>
      </c>
      <c r="B849" s="6" t="str">
        <f>IFERROR(__xludf.DUMMYFUNCTION("""COMPUTED_VALUE"""),"Merias Wajah")</f>
        <v>Merias Wajah</v>
      </c>
      <c r="C849" s="8" t="s">
        <v>22</v>
      </c>
      <c r="F849" s="6" t="str">
        <f>IFERROR(__xludf.DUMMYFUNCTION("""COMPUTED_VALUE"""),"Tiara Wardani")</f>
        <v>Tiara Wardani</v>
      </c>
      <c r="G849" s="6">
        <f>IFERROR(__xludf.DUMMYFUNCTION("""COMPUTED_VALUE"""),7.40311603980201E14)</f>
        <v>740311603980201</v>
      </c>
      <c r="J849" s="7" t="str">
        <f>IFERROR(__xludf.DUMMYFUNCTION("""COMPUTED_VALUE"""),"PEREMPUAN")</f>
        <v>PEREMPUAN</v>
      </c>
      <c r="K849" s="6" t="str">
        <f>IFERROR(__xludf.DUMMYFUNCTION("""COMPUTED_VALUE"""),"Desa Loghiya, Kec. Lohia, Kab.Muna")</f>
        <v>Desa Loghiya, Kec. Lohia, Kab.Muna</v>
      </c>
      <c r="R849" s="7" t="str">
        <f>IFERROR(__xludf.DUMMYFUNCTION("""COMPUTED_VALUE"""),"K")</f>
        <v>K</v>
      </c>
    </row>
    <row r="850" ht="22.5" customHeight="1">
      <c r="A850" s="6">
        <v>849.0</v>
      </c>
      <c r="B850" s="6" t="str">
        <f>IFERROR(__xludf.DUMMYFUNCTION("""COMPUTED_VALUE"""),"Merakit Komponen Fabrikasi")</f>
        <v>Merakit Komponen Fabrikasi</v>
      </c>
      <c r="C850" s="8" t="s">
        <v>22</v>
      </c>
      <c r="F850" s="6" t="str">
        <f>IFERROR(__xludf.DUMMYFUNCTION("""COMPUTED_VALUE"""),"Alham")</f>
        <v>Alham</v>
      </c>
      <c r="G850" s="6" t="str">
        <f>IFERROR(__xludf.DUMMYFUNCTION("""COMPUTED_VALUE"""),"7405190407930001")</f>
        <v>7405190407930001</v>
      </c>
      <c r="J850" s="7" t="str">
        <f>IFERROR(__xludf.DUMMYFUNCTION("""COMPUTED_VALUE"""),"LAKI-LAKI")</f>
        <v>LAKI-LAKI</v>
      </c>
      <c r="K850" s="6" t="str">
        <f>IFERROR(__xludf.DUMMYFUNCTION("""COMPUTED_VALUE"""),"Punggaluku, Kec. Laeya, Kab. Konawe Selatan")</f>
        <v>Punggaluku, Kec. Laeya, Kab. Konawe Selatan</v>
      </c>
      <c r="R850" s="7" t="str">
        <f>IFERROR(__xludf.DUMMYFUNCTION("""COMPUTED_VALUE"""),"K")</f>
        <v>K</v>
      </c>
    </row>
    <row r="851" ht="22.5" customHeight="1">
      <c r="A851" s="6">
        <v>850.0</v>
      </c>
      <c r="B851" s="6" t="str">
        <f>IFERROR(__xludf.DUMMYFUNCTION("""COMPUTED_VALUE"""),"Merakit Komponen Fabrikasi")</f>
        <v>Merakit Komponen Fabrikasi</v>
      </c>
      <c r="C851" s="8" t="s">
        <v>22</v>
      </c>
      <c r="F851" s="6" t="str">
        <f>IFERROR(__xludf.DUMMYFUNCTION("""COMPUTED_VALUE"""),"Andi Muh. Fajrin")</f>
        <v>Andi Muh. Fajrin</v>
      </c>
      <c r="G851" s="6" t="str">
        <f>IFERROR(__xludf.DUMMYFUNCTION("""COMPUTED_VALUE"""),"7402022407030001")</f>
        <v>7402022407030001</v>
      </c>
      <c r="J851" s="7" t="str">
        <f>IFERROR(__xludf.DUMMYFUNCTION("""COMPUTED_VALUE"""),"LAKI-LAKI")</f>
        <v>LAKI-LAKI</v>
      </c>
      <c r="K851" s="6" t="str">
        <f>IFERROR(__xludf.DUMMYFUNCTION("""COMPUTED_VALUE"""),"Wawonggole, Kec. Unaha, Kab. Konawe")</f>
        <v>Wawonggole, Kec. Unaha, Kab. Konawe</v>
      </c>
      <c r="R851" s="7" t="str">
        <f>IFERROR(__xludf.DUMMYFUNCTION("""COMPUTED_VALUE"""),"K")</f>
        <v>K</v>
      </c>
    </row>
    <row r="852" ht="22.5" customHeight="1">
      <c r="A852" s="6">
        <v>851.0</v>
      </c>
      <c r="B852" s="6" t="str">
        <f>IFERROR(__xludf.DUMMYFUNCTION("""COMPUTED_VALUE"""),"Merakit Komponen Fabrikasi")</f>
        <v>Merakit Komponen Fabrikasi</v>
      </c>
      <c r="C852" s="8" t="s">
        <v>22</v>
      </c>
      <c r="F852" s="6" t="str">
        <f>IFERROR(__xludf.DUMMYFUNCTION("""COMPUTED_VALUE"""),"Fahril Eka Syaputra")</f>
        <v>Fahril Eka Syaputra</v>
      </c>
      <c r="G852" s="6" t="str">
        <f>IFERROR(__xludf.DUMMYFUNCTION("""COMPUTED_VALUE"""),"7403270601060001")</f>
        <v>7403270601060001</v>
      </c>
      <c r="J852" s="7" t="str">
        <f>IFERROR(__xludf.DUMMYFUNCTION("""COMPUTED_VALUE"""),"LAKI-LAKI")</f>
        <v>LAKI-LAKI</v>
      </c>
      <c r="K852" s="6" t="str">
        <f>IFERROR(__xludf.DUMMYFUNCTION("""COMPUTED_VALUE"""),"Lahontohe, Kec. Tongkuno, Kab. Muna")</f>
        <v>Lahontohe, Kec. Tongkuno, Kab. Muna</v>
      </c>
      <c r="R852" s="7" t="str">
        <f>IFERROR(__xludf.DUMMYFUNCTION("""COMPUTED_VALUE"""),"K")</f>
        <v>K</v>
      </c>
    </row>
    <row r="853" ht="22.5" customHeight="1">
      <c r="A853" s="6">
        <v>852.0</v>
      </c>
      <c r="B853" s="6" t="str">
        <f>IFERROR(__xludf.DUMMYFUNCTION("""COMPUTED_VALUE"""),"Merakit Komponen Fabrikasi")</f>
        <v>Merakit Komponen Fabrikasi</v>
      </c>
      <c r="C853" s="8" t="s">
        <v>22</v>
      </c>
      <c r="F853" s="6" t="str">
        <f>IFERROR(__xludf.DUMMYFUNCTION("""COMPUTED_VALUE"""),"Hendrik Syaputra")</f>
        <v>Hendrik Syaputra</v>
      </c>
      <c r="G853" s="6" t="str">
        <f>IFERROR(__xludf.DUMMYFUNCTION("""COMPUTED_VALUE"""),"7401020612950001")</f>
        <v>7401020612950001</v>
      </c>
      <c r="J853" s="7" t="str">
        <f>IFERROR(__xludf.DUMMYFUNCTION("""COMPUTED_VALUE"""),"LAKI-LAKI")</f>
        <v>LAKI-LAKI</v>
      </c>
      <c r="K853" s="6" t="str">
        <f>IFERROR(__xludf.DUMMYFUNCTION("""COMPUTED_VALUE"""),"Tirawuta, Kec. Tirawuta, Kolaka Timur")</f>
        <v>Tirawuta, Kec. Tirawuta, Kolaka Timur</v>
      </c>
      <c r="R853" s="7" t="str">
        <f>IFERROR(__xludf.DUMMYFUNCTION("""COMPUTED_VALUE"""),"K")</f>
        <v>K</v>
      </c>
    </row>
    <row r="854" ht="22.5" customHeight="1">
      <c r="A854" s="6">
        <v>853.0</v>
      </c>
      <c r="B854" s="6" t="str">
        <f>IFERROR(__xludf.DUMMYFUNCTION("""COMPUTED_VALUE"""),"Merakit Komponen Fabrikasi")</f>
        <v>Merakit Komponen Fabrikasi</v>
      </c>
      <c r="C854" s="8" t="s">
        <v>22</v>
      </c>
      <c r="F854" s="6" t="str">
        <f>IFERROR(__xludf.DUMMYFUNCTION("""COMPUTED_VALUE"""),"Muh. Alfin Sandi Pratama")</f>
        <v>Muh. Alfin Sandi Pratama</v>
      </c>
      <c r="G854" s="6" t="str">
        <f>IFERROR(__xludf.DUMMYFUNCTION("""COMPUTED_VALUE"""),"7405161109040001")</f>
        <v>7405161109040001</v>
      </c>
      <c r="J854" s="7" t="str">
        <f>IFERROR(__xludf.DUMMYFUNCTION("""COMPUTED_VALUE"""),"LAKI-LAKI")</f>
        <v>LAKI-LAKI</v>
      </c>
      <c r="K854" s="6" t="str">
        <f>IFERROR(__xludf.DUMMYFUNCTION("""COMPUTED_VALUE"""),"Sanggula, Kec. Moramo Utara, Kab. Konawe Selatan")</f>
        <v>Sanggula, Kec. Moramo Utara, Kab. Konawe Selatan</v>
      </c>
      <c r="R854" s="7" t="str">
        <f>IFERROR(__xludf.DUMMYFUNCTION("""COMPUTED_VALUE"""),"K")</f>
        <v>K</v>
      </c>
    </row>
    <row r="855" ht="22.5" customHeight="1">
      <c r="A855" s="6">
        <v>854.0</v>
      </c>
      <c r="B855" s="6" t="str">
        <f>IFERROR(__xludf.DUMMYFUNCTION("""COMPUTED_VALUE"""),"Merakit Komponen Fabrikasi")</f>
        <v>Merakit Komponen Fabrikasi</v>
      </c>
      <c r="C855" s="8" t="s">
        <v>22</v>
      </c>
      <c r="F855" s="6" t="str">
        <f>IFERROR(__xludf.DUMMYFUNCTION("""COMPUTED_VALUE"""),"Muhamad Jakir")</f>
        <v>Muhamad Jakir</v>
      </c>
      <c r="G855" s="6" t="str">
        <f>IFERROR(__xludf.DUMMYFUNCTION("""COMPUTED_VALUE"""),"7403251407050001")</f>
        <v>7403251407050001</v>
      </c>
      <c r="J855" s="7" t="str">
        <f>IFERROR(__xludf.DUMMYFUNCTION("""COMPUTED_VALUE"""),"LAKI-LAKI")</f>
        <v>LAKI-LAKI</v>
      </c>
      <c r="K855" s="6" t="str">
        <f>IFERROR(__xludf.DUMMYFUNCTION("""COMPUTED_VALUE"""),"Walambeno Wite, Kec. Parigi, Kab. Muna")</f>
        <v>Walambeno Wite, Kec. Parigi, Kab. Muna</v>
      </c>
      <c r="R855" s="7" t="str">
        <f>IFERROR(__xludf.DUMMYFUNCTION("""COMPUTED_VALUE"""),"K")</f>
        <v>K</v>
      </c>
    </row>
    <row r="856" ht="22.5" customHeight="1">
      <c r="A856" s="6">
        <v>855.0</v>
      </c>
      <c r="B856" s="6" t="str">
        <f>IFERROR(__xludf.DUMMYFUNCTION("""COMPUTED_VALUE"""),"Merakit Komponen Fabrikasi")</f>
        <v>Merakit Komponen Fabrikasi</v>
      </c>
      <c r="C856" s="8" t="s">
        <v>22</v>
      </c>
      <c r="F856" s="6" t="str">
        <f>IFERROR(__xludf.DUMMYFUNCTION("""COMPUTED_VALUE"""),"Muhammad Sobri Salam")</f>
        <v>Muhammad Sobri Salam</v>
      </c>
      <c r="G856" s="13">
        <f>IFERROR(__xludf.DUMMYFUNCTION("""COMPUTED_VALUE"""),7.40204080805E15)</f>
        <v>7.40204E+15</v>
      </c>
      <c r="J856" s="7" t="str">
        <f>IFERROR(__xludf.DUMMYFUNCTION("""COMPUTED_VALUE"""),"LAKI-LAKI")</f>
        <v>LAKI-LAKI</v>
      </c>
      <c r="K856" s="6" t="str">
        <f>IFERROR(__xludf.DUMMYFUNCTION("""COMPUTED_VALUE"""),"Laloika, Kec. Pondidaha, Kab. Konawe")</f>
        <v>Laloika, Kec. Pondidaha, Kab. Konawe</v>
      </c>
      <c r="R856" s="7" t="str">
        <f>IFERROR(__xludf.DUMMYFUNCTION("""COMPUTED_VALUE"""),"K")</f>
        <v>K</v>
      </c>
    </row>
    <row r="857" ht="22.5" customHeight="1">
      <c r="A857" s="6">
        <v>856.0</v>
      </c>
      <c r="B857" s="6" t="str">
        <f>IFERROR(__xludf.DUMMYFUNCTION("""COMPUTED_VALUE"""),"Pengelolaan Administrasi Kantor Digital Berbasis Google Workspace")</f>
        <v>Pengelolaan Administrasi Kantor Digital Berbasis Google Workspace</v>
      </c>
      <c r="C857" s="8" t="s">
        <v>22</v>
      </c>
      <c r="F857" s="6" t="str">
        <f>IFERROR(__xludf.DUMMYFUNCTION("""COMPUTED_VALUE"""),"Desty Aulia Ramadhani")</f>
        <v>Desty Aulia Ramadhani</v>
      </c>
      <c r="G857" s="6" t="str">
        <f>IFERROR(__xludf.DUMMYFUNCTION("""COMPUTED_VALUE"""),"7471035011040003")</f>
        <v>7471035011040003</v>
      </c>
      <c r="J857" s="7" t="str">
        <f>IFERROR(__xludf.DUMMYFUNCTION("""COMPUTED_VALUE"""),"PEREMPUAN")</f>
        <v>PEREMPUAN</v>
      </c>
      <c r="K857" s="6" t="str">
        <f>IFERROR(__xludf.DUMMYFUNCTION("""COMPUTED_VALUE"""),"Baruga, Kec. Baruga, Kota Kendari")</f>
        <v>Baruga, Kec. Baruga, Kota Kendari</v>
      </c>
      <c r="R857" s="7" t="str">
        <f>IFERROR(__xludf.DUMMYFUNCTION("""COMPUTED_VALUE"""),"K")</f>
        <v>K</v>
      </c>
    </row>
    <row r="858" ht="22.5" customHeight="1">
      <c r="A858" s="6">
        <v>857.0</v>
      </c>
      <c r="B858" s="6" t="str">
        <f>IFERROR(__xludf.DUMMYFUNCTION("""COMPUTED_VALUE"""),"Pengelolaan Administrasi Kantor Digital Berbasis Google Workspace")</f>
        <v>Pengelolaan Administrasi Kantor Digital Berbasis Google Workspace</v>
      </c>
      <c r="C858" s="8" t="s">
        <v>22</v>
      </c>
      <c r="F858" s="6" t="str">
        <f>IFERROR(__xludf.DUMMYFUNCTION("""COMPUTED_VALUE"""),"Devi Permata Indah")</f>
        <v>Devi Permata Indah</v>
      </c>
      <c r="G858" s="6" t="str">
        <f>IFERROR(__xludf.DUMMYFUNCTION("""COMPUTED_VALUE"""),"7471054907000002")</f>
        <v>7471054907000002</v>
      </c>
      <c r="J858" s="7" t="str">
        <f>IFERROR(__xludf.DUMMYFUNCTION("""COMPUTED_VALUE"""),"PEREMPUAN")</f>
        <v>PEREMPUAN</v>
      </c>
      <c r="K858" s="6" t="str">
        <f>IFERROR(__xludf.DUMMYFUNCTION("""COMPUTED_VALUE"""),"Padaleu, Kec. Kambu, Kota Kendari")</f>
        <v>Padaleu, Kec. Kambu, Kota Kendari</v>
      </c>
      <c r="R858" s="7" t="str">
        <f>IFERROR(__xludf.DUMMYFUNCTION("""COMPUTED_VALUE"""),"K")</f>
        <v>K</v>
      </c>
    </row>
    <row r="859" ht="22.5" customHeight="1">
      <c r="A859" s="6">
        <v>858.0</v>
      </c>
      <c r="B859" s="6" t="str">
        <f>IFERROR(__xludf.DUMMYFUNCTION("""COMPUTED_VALUE"""),"Pengelolaan Administrasi Kantor Digital Berbasis Google Workspace")</f>
        <v>Pengelolaan Administrasi Kantor Digital Berbasis Google Workspace</v>
      </c>
      <c r="C859" s="8" t="s">
        <v>22</v>
      </c>
      <c r="F859" s="6" t="str">
        <f>IFERROR(__xludf.DUMMYFUNCTION("""COMPUTED_VALUE"""),"Indriantari")</f>
        <v>Indriantari</v>
      </c>
      <c r="G859" s="6" t="str">
        <f>IFERROR(__xludf.DUMMYFUNCTION("""COMPUTED_VALUE"""),"7405084806000001")</f>
        <v>7405084806000001</v>
      </c>
      <c r="J859" s="7" t="str">
        <f>IFERROR(__xludf.DUMMYFUNCTION("""COMPUTED_VALUE"""),"PEREMPUAN")</f>
        <v>PEREMPUAN</v>
      </c>
      <c r="K859" s="6" t="str">
        <f>IFERROR(__xludf.DUMMYFUNCTION("""COMPUTED_VALUE"""),"Kota Bangun, Kec. Ranomeeto, Kab.    Konawe Selatan")</f>
        <v>Kota Bangun, Kec. Ranomeeto, Kab.    Konawe Selatan</v>
      </c>
      <c r="R859" s="7" t="str">
        <f>IFERROR(__xludf.DUMMYFUNCTION("""COMPUTED_VALUE"""),"K")</f>
        <v>K</v>
      </c>
    </row>
    <row r="860" ht="22.5" customHeight="1">
      <c r="A860" s="6">
        <v>859.0</v>
      </c>
      <c r="B860" s="6" t="str">
        <f>IFERROR(__xludf.DUMMYFUNCTION("""COMPUTED_VALUE"""),"Pengelolaan Administrasi Kantor Digital Berbasis Google Workspace")</f>
        <v>Pengelolaan Administrasi Kantor Digital Berbasis Google Workspace</v>
      </c>
      <c r="C860" s="8" t="s">
        <v>22</v>
      </c>
      <c r="F860" s="6" t="str">
        <f>IFERROR(__xludf.DUMMYFUNCTION("""COMPUTED_VALUE"""),"Milda Andriani")</f>
        <v>Milda Andriani</v>
      </c>
      <c r="G860" s="6" t="str">
        <f>IFERROR(__xludf.DUMMYFUNCTION("""COMPUTED_VALUE"""),"7401026212030001")</f>
        <v>7401026212030001</v>
      </c>
      <c r="J860" s="7" t="str">
        <f>IFERROR(__xludf.DUMMYFUNCTION("""COMPUTED_VALUE"""),"PEREMPUAN")</f>
        <v>PEREMPUAN</v>
      </c>
      <c r="K860" s="6" t="str">
        <f>IFERROR(__xludf.DUMMYFUNCTION("""COMPUTED_VALUE"""),"Tababu, Kec. Tirawuta, Kab. Kolaka Timur")</f>
        <v>Tababu, Kec. Tirawuta, Kab. Kolaka Timur</v>
      </c>
      <c r="R860" s="7" t="str">
        <f>IFERROR(__xludf.DUMMYFUNCTION("""COMPUTED_VALUE"""),"K")</f>
        <v>K</v>
      </c>
    </row>
    <row r="861" ht="22.5" customHeight="1">
      <c r="A861" s="6">
        <v>860.0</v>
      </c>
      <c r="B861" s="6" t="str">
        <f>IFERROR(__xludf.DUMMYFUNCTION("""COMPUTED_VALUE"""),"Pengelolaan Administrasi Kantor Digital Berbasis Google Workspace")</f>
        <v>Pengelolaan Administrasi Kantor Digital Berbasis Google Workspace</v>
      </c>
      <c r="C861" s="8" t="s">
        <v>22</v>
      </c>
      <c r="F861" s="6" t="str">
        <f>IFERROR(__xludf.DUMMYFUNCTION("""COMPUTED_VALUE"""),"Misyou Suryana Putri")</f>
        <v>Misyou Suryana Putri</v>
      </c>
      <c r="G861" s="6" t="str">
        <f>IFERROR(__xludf.DUMMYFUNCTION("""COMPUTED_VALUE"""),"7401077105080001")</f>
        <v>7401077105080001</v>
      </c>
      <c r="J861" s="7" t="str">
        <f>IFERROR(__xludf.DUMMYFUNCTION("""COMPUTED_VALUE"""),"PEREMPUAN")</f>
        <v>PEREMPUAN</v>
      </c>
      <c r="K861" s="6" t="str">
        <f>IFERROR(__xludf.DUMMYFUNCTION("""COMPUTED_VALUE"""),"Walasiho, Kec. Wawo, Kab. Kolaka Utara")</f>
        <v>Walasiho, Kec. Wawo, Kab. Kolaka Utara</v>
      </c>
      <c r="R861" s="7" t="str">
        <f>IFERROR(__xludf.DUMMYFUNCTION("""COMPUTED_VALUE"""),"BK")</f>
        <v>BK</v>
      </c>
    </row>
    <row r="862" ht="22.5" customHeight="1">
      <c r="A862" s="6">
        <v>861.0</v>
      </c>
      <c r="B862" s="6" t="str">
        <f>IFERROR(__xludf.DUMMYFUNCTION("""COMPUTED_VALUE"""),"Pengelolaan Administrasi Kantor Digital Berbasis Google Workspace")</f>
        <v>Pengelolaan Administrasi Kantor Digital Berbasis Google Workspace</v>
      </c>
      <c r="C862" s="8" t="s">
        <v>22</v>
      </c>
      <c r="F862" s="6" t="str">
        <f>IFERROR(__xludf.DUMMYFUNCTION("""COMPUTED_VALUE"""),"Pratiwi Oktaviana")</f>
        <v>Pratiwi Oktaviana</v>
      </c>
      <c r="G862" s="6" t="str">
        <f>IFERROR(__xludf.DUMMYFUNCTION("""COMPUTED_VALUE"""),"7405084105040002")</f>
        <v>7405084105040002</v>
      </c>
      <c r="J862" s="7" t="str">
        <f>IFERROR(__xludf.DUMMYFUNCTION("""COMPUTED_VALUE"""),"PEREMPUAN")</f>
        <v>PEREMPUAN</v>
      </c>
      <c r="K862" s="6" t="str">
        <f>IFERROR(__xludf.DUMMYFUNCTION("""COMPUTED_VALUE"""),"Rambu-Rambu Jaya, Kec. Ranomeeto, Kab. Konawe Selatan")</f>
        <v>Rambu-Rambu Jaya, Kec. Ranomeeto, Kab. Konawe Selatan</v>
      </c>
      <c r="R862" s="7" t="str">
        <f>IFERROR(__xludf.DUMMYFUNCTION("""COMPUTED_VALUE"""),"K")</f>
        <v>K</v>
      </c>
    </row>
    <row r="863" ht="22.5" customHeight="1">
      <c r="A863" s="6">
        <v>862.0</v>
      </c>
      <c r="B863" s="6" t="str">
        <f>IFERROR(__xludf.DUMMYFUNCTION("""COMPUTED_VALUE"""),"Pengelolaan Administrasi Kantor Digital Berbasis Google Workspace")</f>
        <v>Pengelolaan Administrasi Kantor Digital Berbasis Google Workspace</v>
      </c>
      <c r="C863" s="8" t="s">
        <v>22</v>
      </c>
      <c r="F863" s="6" t="str">
        <f>IFERROR(__xludf.DUMMYFUNCTION("""COMPUTED_VALUE"""),"Sarli Alkholifatun")</f>
        <v>Sarli Alkholifatun</v>
      </c>
      <c r="G863" s="6" t="str">
        <f>IFERROR(__xludf.DUMMYFUNCTION("""COMPUTED_VALUE"""),"7405125802040002")</f>
        <v>7405125802040002</v>
      </c>
      <c r="J863" s="7" t="str">
        <f>IFERROR(__xludf.DUMMYFUNCTION("""COMPUTED_VALUE"""),"PEREMPUAN")</f>
        <v>PEREMPUAN</v>
      </c>
      <c r="K863" s="6" t="str">
        <f>IFERROR(__xludf.DUMMYFUNCTION("""COMPUTED_VALUE"""),"Sukamukti, Kec. Lalembuu, Kab. Konawe Selatan")</f>
        <v>Sukamukti, Kec. Lalembuu, Kab. Konawe Selatan</v>
      </c>
      <c r="R863" s="7" t="str">
        <f>IFERROR(__xludf.DUMMYFUNCTION("""COMPUTED_VALUE"""),"K")</f>
        <v>K</v>
      </c>
    </row>
    <row r="864" ht="22.5" customHeight="1">
      <c r="A864" s="6">
        <v>863.0</v>
      </c>
      <c r="B864" s="6" t="str">
        <f>IFERROR(__xludf.DUMMYFUNCTION("""COMPUTED_VALUE"""),"Pengelolaan Administrasi Kantor Digital Berbasis Google Workspace")</f>
        <v>Pengelolaan Administrasi Kantor Digital Berbasis Google Workspace</v>
      </c>
      <c r="C864" s="8" t="s">
        <v>22</v>
      </c>
      <c r="F864" s="6" t="str">
        <f>IFERROR(__xludf.DUMMYFUNCTION("""COMPUTED_VALUE"""),"Sindi Mardasari")</f>
        <v>Sindi Mardasari</v>
      </c>
      <c r="G864" s="6" t="str">
        <f>IFERROR(__xludf.DUMMYFUNCTION("""COMPUTED_VALUE"""),"7403385211030001")</f>
        <v>7403385211030001</v>
      </c>
      <c r="J864" s="7" t="str">
        <f>IFERROR(__xludf.DUMMYFUNCTION("""COMPUTED_VALUE"""),"PEREMPUAN")</f>
        <v>PEREMPUAN</v>
      </c>
      <c r="K864" s="6" t="str">
        <f>IFERROR(__xludf.DUMMYFUNCTION("""COMPUTED_VALUE"""),"Barakkah, Kec. Tiworo Selatan, Kab. Muna Barat")</f>
        <v>Barakkah, Kec. Tiworo Selatan, Kab. Muna Barat</v>
      </c>
      <c r="R864" s="7" t="str">
        <f>IFERROR(__xludf.DUMMYFUNCTION("""COMPUTED_VALUE"""),"K")</f>
        <v>K</v>
      </c>
    </row>
    <row r="865" ht="22.5" customHeight="1">
      <c r="A865" s="6">
        <v>864.0</v>
      </c>
      <c r="B865" s="6" t="str">
        <f>IFERROR(__xludf.DUMMYFUNCTION("""COMPUTED_VALUE"""),"Pengelolaan Administrasi Kantor Digital Berbasis Google Workspace")</f>
        <v>Pengelolaan Administrasi Kantor Digital Berbasis Google Workspace</v>
      </c>
      <c r="C865" s="8" t="s">
        <v>22</v>
      </c>
      <c r="F865" s="6" t="str">
        <f>IFERROR(__xludf.DUMMYFUNCTION("""COMPUTED_VALUE"""),"Srikana")</f>
        <v>Srikana</v>
      </c>
      <c r="G865" s="6" t="str">
        <f>IFERROR(__xludf.DUMMYFUNCTION("""COMPUTED_VALUE"""),"7407025101020001")</f>
        <v>7407025101020001</v>
      </c>
      <c r="J865" s="7" t="str">
        <f>IFERROR(__xludf.DUMMYFUNCTION("""COMPUTED_VALUE"""),"PEREMPUAN")</f>
        <v>PEREMPUAN</v>
      </c>
      <c r="K865" s="6" t="str">
        <f>IFERROR(__xludf.DUMMYFUNCTION("""COMPUTED_VALUE"""),"Sainoa Indah, Kec. Wawonii Tenggara, Kab. Konawe Kepelauan")</f>
        <v>Sainoa Indah, Kec. Wawonii Tenggara, Kab. Konawe Kepelauan</v>
      </c>
      <c r="R865" s="7" t="str">
        <f>IFERROR(__xludf.DUMMYFUNCTION("""COMPUTED_VALUE"""),"K")</f>
        <v>K</v>
      </c>
    </row>
    <row r="866" ht="22.5" customHeight="1">
      <c r="A866" s="6">
        <v>865.0</v>
      </c>
      <c r="B866" s="6" t="str">
        <f>IFERROR(__xludf.DUMMYFUNCTION("""COMPUTED_VALUE"""),"Pengelolaan Administrasi Kantor Digital Berbasis Google Workspace")</f>
        <v>Pengelolaan Administrasi Kantor Digital Berbasis Google Workspace</v>
      </c>
      <c r="C866" s="8" t="s">
        <v>22</v>
      </c>
      <c r="F866" s="6" t="str">
        <f>IFERROR(__xludf.DUMMYFUNCTION("""COMPUTED_VALUE"""),"Zalsa Bila S. Piabang")</f>
        <v>Zalsa Bila S. Piabang</v>
      </c>
      <c r="G866" s="6" t="str">
        <f>IFERROR(__xludf.DUMMYFUNCTION("""COMPUTED_VALUE"""),"7471034502050003")</f>
        <v>7471034502050003</v>
      </c>
      <c r="J866" s="7" t="str">
        <f>IFERROR(__xludf.DUMMYFUNCTION("""COMPUTED_VALUE"""),"PEREMPUAN")</f>
        <v>PEREMPUAN</v>
      </c>
      <c r="K866" s="6" t="str">
        <f>IFERROR(__xludf.DUMMYFUNCTION("""COMPUTED_VALUE"""),"Wundudopi, Kec. Baruga, Kota Kendari")</f>
        <v>Wundudopi, Kec. Baruga, Kota Kendari</v>
      </c>
      <c r="R866" s="7" t="str">
        <f>IFERROR(__xludf.DUMMYFUNCTION("""COMPUTED_VALUE"""),"K")</f>
        <v>K</v>
      </c>
    </row>
    <row r="867" ht="22.5" customHeight="1">
      <c r="A867" s="6">
        <v>866.0</v>
      </c>
      <c r="B867" s="6" t="str">
        <f>IFERROR(__xludf.DUMMYFUNCTION("""COMPUTED_VALUE"""),"Computer Operator Assistant ")</f>
        <v>Computer Operator Assistant </v>
      </c>
      <c r="C867" s="8" t="s">
        <v>23</v>
      </c>
      <c r="F867" s="6" t="str">
        <f>IFERROR(__xludf.DUMMYFUNCTION("""COMPUTED_VALUE"""),"Annisa")</f>
        <v>Annisa</v>
      </c>
      <c r="G867" s="6" t="str">
        <f>IFERROR(__xludf.DUMMYFUNCTION("""COMPUTED_VALUE"""),"7401124104070001")</f>
        <v>7401124104070001</v>
      </c>
      <c r="J867" s="7" t="str">
        <f>IFERROR(__xludf.DUMMYFUNCTION("""COMPUTED_VALUE"""),"PEREMPUAN")</f>
        <v>PEREMPUAN</v>
      </c>
      <c r="K867" s="6" t="str">
        <f>IFERROR(__xludf.DUMMYFUNCTION("""COMPUTED_VALUE"""),"Lingk. II Lalondangge, Kel. Puundoho, Kec. Baula, Kab. Kolaka")</f>
        <v>Lingk. II Lalondangge, Kel. Puundoho, Kec. Baula, Kab. Kolaka</v>
      </c>
      <c r="R867" s="7" t="str">
        <f>IFERROR(__xludf.DUMMYFUNCTION("""COMPUTED_VALUE"""),"K")</f>
        <v>K</v>
      </c>
    </row>
    <row r="868" ht="22.5" customHeight="1">
      <c r="A868" s="6">
        <v>867.0</v>
      </c>
      <c r="B868" s="6" t="str">
        <f>IFERROR(__xludf.DUMMYFUNCTION("""COMPUTED_VALUE"""),"Computer Operator Assistant ")</f>
        <v>Computer Operator Assistant </v>
      </c>
      <c r="C868" s="8" t="s">
        <v>23</v>
      </c>
      <c r="F868" s="6" t="str">
        <f>IFERROR(__xludf.DUMMYFUNCTION("""COMPUTED_VALUE"""),"Asyifa Manokasi")</f>
        <v>Asyifa Manokasi</v>
      </c>
      <c r="G868" s="6" t="str">
        <f>IFERROR(__xludf.DUMMYFUNCTION("""COMPUTED_VALUE"""),"7401144303080001")</f>
        <v>7401144303080001</v>
      </c>
      <c r="J868" s="7" t="str">
        <f>IFERROR(__xludf.DUMMYFUNCTION("""COMPUTED_VALUE"""),"PEREMPUAN")</f>
        <v>PEREMPUAN</v>
      </c>
      <c r="K868" s="6" t="str">
        <f>IFERROR(__xludf.DUMMYFUNCTION("""COMPUTED_VALUE"""),"Jl. Abadi, Kel. Kolakaasi, Kec. Kolaka, Kab. Kolaka")</f>
        <v>Jl. Abadi, Kel. Kolakaasi, Kec. Kolaka, Kab. Kolaka</v>
      </c>
      <c r="R868" s="7" t="str">
        <f>IFERROR(__xludf.DUMMYFUNCTION("""COMPUTED_VALUE"""),"K")</f>
        <v>K</v>
      </c>
    </row>
    <row r="869" ht="22.5" customHeight="1">
      <c r="A869" s="6">
        <v>868.0</v>
      </c>
      <c r="B869" s="6" t="str">
        <f>IFERROR(__xludf.DUMMYFUNCTION("""COMPUTED_VALUE"""),"Computer Operator Assistant ")</f>
        <v>Computer Operator Assistant </v>
      </c>
      <c r="C869" s="8" t="s">
        <v>23</v>
      </c>
      <c r="F869" s="6" t="str">
        <f>IFERROR(__xludf.DUMMYFUNCTION("""COMPUTED_VALUE"""),"Erin Febriani Rahman")</f>
        <v>Erin Febriani Rahman</v>
      </c>
      <c r="G869" s="6" t="str">
        <f>IFERROR(__xludf.DUMMYFUNCTION("""COMPUTED_VALUE"""),"7401145402070001")</f>
        <v>7401145402070001</v>
      </c>
      <c r="J869" s="7" t="str">
        <f>IFERROR(__xludf.DUMMYFUNCTION("""COMPUTED_VALUE"""),"PEREMPUAN")</f>
        <v>PEREMPUAN</v>
      </c>
      <c r="K869" s="6" t="str">
        <f>IFERROR(__xludf.DUMMYFUNCTION("""COMPUTED_VALUE"""),"Jl. Abadi No. 127, Kel. Kolakaasi, Kec. Latambaga, Kab. Kolaka")</f>
        <v>Jl. Abadi No. 127, Kel. Kolakaasi, Kec. Latambaga, Kab. Kolaka</v>
      </c>
      <c r="R869" s="7" t="str">
        <f>IFERROR(__xludf.DUMMYFUNCTION("""COMPUTED_VALUE"""),"K")</f>
        <v>K</v>
      </c>
    </row>
    <row r="870" ht="22.5" customHeight="1">
      <c r="A870" s="6">
        <v>869.0</v>
      </c>
      <c r="B870" s="6" t="str">
        <f>IFERROR(__xludf.DUMMYFUNCTION("""COMPUTED_VALUE"""),"Computer Operator Assistant ")</f>
        <v>Computer Operator Assistant </v>
      </c>
      <c r="C870" s="8" t="s">
        <v>23</v>
      </c>
      <c r="F870" s="6" t="str">
        <f>IFERROR(__xludf.DUMMYFUNCTION("""COMPUTED_VALUE"""),"Jihan Kharera Munandita")</f>
        <v>Jihan Kharera Munandita</v>
      </c>
      <c r="G870" s="6" t="str">
        <f>IFERROR(__xludf.DUMMYFUNCTION("""COMPUTED_VALUE"""),"7401244302060001")</f>
        <v>7401244302060001</v>
      </c>
      <c r="J870" s="7" t="str">
        <f>IFERROR(__xludf.DUMMYFUNCTION("""COMPUTED_VALUE"""),"PEREMPUAN")</f>
        <v>PEREMPUAN</v>
      </c>
      <c r="K870" s="6" t="str">
        <f>IFERROR(__xludf.DUMMYFUNCTION("""COMPUTED_VALUE"""),"Dusun I Sumber Agung, Desa Rano Jaya, Kec. Toari, Kab. Kolaka")</f>
        <v>Dusun I Sumber Agung, Desa Rano Jaya, Kec. Toari, Kab. Kolaka</v>
      </c>
      <c r="R870" s="7" t="str">
        <f>IFERROR(__xludf.DUMMYFUNCTION("""COMPUTED_VALUE"""),"K")</f>
        <v>K</v>
      </c>
    </row>
    <row r="871" ht="22.5" customHeight="1">
      <c r="A871" s="6">
        <v>870.0</v>
      </c>
      <c r="B871" s="6" t="str">
        <f>IFERROR(__xludf.DUMMYFUNCTION("""COMPUTED_VALUE"""),"Computer Operator Assistant ")</f>
        <v>Computer Operator Assistant </v>
      </c>
      <c r="C871" s="8" t="s">
        <v>23</v>
      </c>
      <c r="F871" s="6" t="str">
        <f>IFERROR(__xludf.DUMMYFUNCTION("""COMPUTED_VALUE"""),"Khurun Aini Nazhwa")</f>
        <v>Khurun Aini Nazhwa</v>
      </c>
      <c r="G871" s="6" t="str">
        <f>IFERROR(__xludf.DUMMYFUNCTION("""COMPUTED_VALUE"""),"7401076512070001")</f>
        <v>7401076512070001</v>
      </c>
      <c r="J871" s="7" t="str">
        <f>IFERROR(__xludf.DUMMYFUNCTION("""COMPUTED_VALUE"""),"PEREMPUAN")</f>
        <v>PEREMPUAN</v>
      </c>
      <c r="K871" s="6" t="str">
        <f>IFERROR(__xludf.DUMMYFUNCTION("""COMPUTED_VALUE"""),"Jl. Ekonomi No. 91A, Kel. Dawi-Dawi, Kec. Pomalaa, Kab. Kolaka")</f>
        <v>Jl. Ekonomi No. 91A, Kel. Dawi-Dawi, Kec. Pomalaa, Kab. Kolaka</v>
      </c>
      <c r="R871" s="7" t="str">
        <f>IFERROR(__xludf.DUMMYFUNCTION("""COMPUTED_VALUE"""),"K")</f>
        <v>K</v>
      </c>
    </row>
    <row r="872" ht="22.5" customHeight="1">
      <c r="A872" s="6">
        <v>871.0</v>
      </c>
      <c r="B872" s="6" t="str">
        <f>IFERROR(__xludf.DUMMYFUNCTION("""COMPUTED_VALUE"""),"Computer Operator Assistant ")</f>
        <v>Computer Operator Assistant </v>
      </c>
      <c r="C872" s="8" t="s">
        <v>23</v>
      </c>
      <c r="F872" s="6" t="str">
        <f>IFERROR(__xludf.DUMMYFUNCTION("""COMPUTED_VALUE"""),"Lola Amelia")</f>
        <v>Lola Amelia</v>
      </c>
      <c r="G872" s="6" t="str">
        <f>IFERROR(__xludf.DUMMYFUNCTION("""COMPUTED_VALUE"""),"7371115703070005")</f>
        <v>7371115703070005</v>
      </c>
      <c r="J872" s="7" t="str">
        <f>IFERROR(__xludf.DUMMYFUNCTION("""COMPUTED_VALUE"""),"PEREMPUAN")</f>
        <v>PEREMPUAN</v>
      </c>
      <c r="K872" s="6" t="str">
        <f>IFERROR(__xludf.DUMMYFUNCTION("""COMPUTED_VALUE"""),"Tinengi, Kec. Tinondo, Kab. Kolaka Timur")</f>
        <v>Tinengi, Kec. Tinondo, Kab. Kolaka Timur</v>
      </c>
      <c r="R872" s="7" t="str">
        <f>IFERROR(__xludf.DUMMYFUNCTION("""COMPUTED_VALUE"""),"K")</f>
        <v>K</v>
      </c>
    </row>
    <row r="873" ht="22.5" customHeight="1">
      <c r="A873" s="6">
        <v>872.0</v>
      </c>
      <c r="B873" s="6" t="str">
        <f>IFERROR(__xludf.DUMMYFUNCTION("""COMPUTED_VALUE"""),"Computer Operator Assistant ")</f>
        <v>Computer Operator Assistant </v>
      </c>
      <c r="C873" s="8" t="s">
        <v>23</v>
      </c>
      <c r="F873" s="6" t="str">
        <f>IFERROR(__xludf.DUMMYFUNCTION("""COMPUTED_VALUE"""),"Maniza Muhtar")</f>
        <v>Maniza Muhtar</v>
      </c>
      <c r="G873" s="6" t="str">
        <f>IFERROR(__xludf.DUMMYFUNCTION("""COMPUTED_VALUE"""),"7401074909070003")</f>
        <v>7401074909070003</v>
      </c>
      <c r="J873" s="7" t="str">
        <f>IFERROR(__xludf.DUMMYFUNCTION("""COMPUTED_VALUE"""),"PEREMPUAN")</f>
        <v>PEREMPUAN</v>
      </c>
      <c r="K873" s="6" t="str">
        <f>IFERROR(__xludf.DUMMYFUNCTION("""COMPUTED_VALUE"""),"Dusun Lalonggulahi, Desa Oko-Oko, Kec. Pomalaa, Kab. Kolaka")</f>
        <v>Dusun Lalonggulahi, Desa Oko-Oko, Kec. Pomalaa, Kab. Kolaka</v>
      </c>
      <c r="R873" s="7" t="str">
        <f>IFERROR(__xludf.DUMMYFUNCTION("""COMPUTED_VALUE"""),"K")</f>
        <v>K</v>
      </c>
    </row>
    <row r="874" ht="22.5" customHeight="1">
      <c r="A874" s="6">
        <v>873.0</v>
      </c>
      <c r="B874" s="6" t="str">
        <f>IFERROR(__xludf.DUMMYFUNCTION("""COMPUTED_VALUE"""),"Computer Operator Assistant ")</f>
        <v>Computer Operator Assistant </v>
      </c>
      <c r="C874" s="8" t="s">
        <v>23</v>
      </c>
      <c r="F874" s="6" t="str">
        <f>IFERROR(__xludf.DUMMYFUNCTION("""COMPUTED_VALUE"""),"Maya Santika")</f>
        <v>Maya Santika</v>
      </c>
      <c r="G874" s="6" t="str">
        <f>IFERROR(__xludf.DUMMYFUNCTION("""COMPUTED_VALUE"""),"7401014908050001")</f>
        <v>7401014908050001</v>
      </c>
      <c r="J874" s="7" t="str">
        <f>IFERROR(__xludf.DUMMYFUNCTION("""COMPUTED_VALUE"""),"PEREMPUAN")</f>
        <v>PEREMPUAN</v>
      </c>
      <c r="K874" s="6" t="str">
        <f>IFERROR(__xludf.DUMMYFUNCTION("""COMPUTED_VALUE"""),"Lingk. II Matabondu, Kel. Silea, Kec. Wundulako, Kab. Kolaka")</f>
        <v>Lingk. II Matabondu, Kel. Silea, Kec. Wundulako, Kab. Kolaka</v>
      </c>
      <c r="R874" s="7" t="str">
        <f>IFERROR(__xludf.DUMMYFUNCTION("""COMPUTED_VALUE"""),"K")</f>
        <v>K</v>
      </c>
    </row>
    <row r="875" ht="22.5" customHeight="1">
      <c r="A875" s="6">
        <v>874.0</v>
      </c>
      <c r="B875" s="6" t="str">
        <f>IFERROR(__xludf.DUMMYFUNCTION("""COMPUTED_VALUE"""),"Computer Operator Assistant ")</f>
        <v>Computer Operator Assistant </v>
      </c>
      <c r="C875" s="8" t="s">
        <v>23</v>
      </c>
      <c r="F875" s="6" t="str">
        <f>IFERROR(__xludf.DUMMYFUNCTION("""COMPUTED_VALUE"""),"Munawarah")</f>
        <v>Munawarah</v>
      </c>
      <c r="G875" s="6" t="str">
        <f>IFERROR(__xludf.DUMMYFUNCTION("""COMPUTED_VALUE"""),"7401074401080002")</f>
        <v>7401074401080002</v>
      </c>
      <c r="J875" s="7" t="str">
        <f>IFERROR(__xludf.DUMMYFUNCTION("""COMPUTED_VALUE"""),"PEREMPUAN")</f>
        <v>PEREMPUAN</v>
      </c>
      <c r="K875" s="6" t="str">
        <f>IFERROR(__xludf.DUMMYFUNCTION("""COMPUTED_VALUE"""),"Dusun III Pasir Putih, Desa Oko-oko, Kec. Pomalaa, Kab. Kolaka")</f>
        <v>Dusun III Pasir Putih, Desa Oko-oko, Kec. Pomalaa, Kab. Kolaka</v>
      </c>
      <c r="R875" s="7" t="str">
        <f>IFERROR(__xludf.DUMMYFUNCTION("""COMPUTED_VALUE"""),"K")</f>
        <v>K</v>
      </c>
    </row>
    <row r="876" ht="22.5" customHeight="1">
      <c r="A876" s="6">
        <v>875.0</v>
      </c>
      <c r="B876" s="6" t="str">
        <f>IFERROR(__xludf.DUMMYFUNCTION("""COMPUTED_VALUE"""),"Computer Operator Assistant ")</f>
        <v>Computer Operator Assistant </v>
      </c>
      <c r="C876" s="8" t="s">
        <v>23</v>
      </c>
      <c r="F876" s="6" t="str">
        <f>IFERROR(__xludf.DUMMYFUNCTION("""COMPUTED_VALUE"""),"Nikki Nakesyah Ramadhani")</f>
        <v>Nikki Nakesyah Ramadhani</v>
      </c>
      <c r="G876" s="6" t="str">
        <f>IFERROR(__xludf.DUMMYFUNCTION("""COMPUTED_VALUE"""),"7401075010060001")</f>
        <v>7401075010060001</v>
      </c>
      <c r="J876" s="7" t="str">
        <f>IFERROR(__xludf.DUMMYFUNCTION("""COMPUTED_VALUE"""),"PEREMPUAN")</f>
        <v>PEREMPUAN</v>
      </c>
      <c r="K876" s="6" t="str">
        <f>IFERROR(__xludf.DUMMYFUNCTION("""COMPUTED_VALUE"""),"Dusun II, Desa Baula, Kec. Baula, Kab. Kolaka")</f>
        <v>Dusun II, Desa Baula, Kec. Baula, Kab. Kolaka</v>
      </c>
      <c r="R876" s="7" t="str">
        <f>IFERROR(__xludf.DUMMYFUNCTION("""COMPUTED_VALUE"""),"K")</f>
        <v>K</v>
      </c>
    </row>
    <row r="877" ht="22.5" customHeight="1">
      <c r="A877" s="6">
        <v>876.0</v>
      </c>
      <c r="B877" s="6" t="str">
        <f>IFERROR(__xludf.DUMMYFUNCTION("""COMPUTED_VALUE"""),"Computer Operator Assistant ")</f>
        <v>Computer Operator Assistant </v>
      </c>
      <c r="C877" s="8" t="s">
        <v>23</v>
      </c>
      <c r="F877" s="6" t="str">
        <f>IFERROR(__xludf.DUMMYFUNCTION("""COMPUTED_VALUE"""),"Nilam")</f>
        <v>Nilam</v>
      </c>
      <c r="G877" s="13">
        <f>IFERROR(__xludf.DUMMYFUNCTION("""COMPUTED_VALUE"""),7.40503410706002E15)</f>
        <v>7.40503E+15</v>
      </c>
      <c r="J877" s="7" t="str">
        <f>IFERROR(__xludf.DUMMYFUNCTION("""COMPUTED_VALUE"""),"PEREMPUAN")</f>
        <v>PEREMPUAN</v>
      </c>
      <c r="K877" s="6" t="str">
        <f>IFERROR(__xludf.DUMMYFUNCTION("""COMPUTED_VALUE"""),"Dusun II, Desa Palewai, Kec. Tanggetada, Kab. Kolaka")</f>
        <v>Dusun II, Desa Palewai, Kec. Tanggetada, Kab. Kolaka</v>
      </c>
      <c r="R877" s="7" t="str">
        <f>IFERROR(__xludf.DUMMYFUNCTION("""COMPUTED_VALUE"""),"K")</f>
        <v>K</v>
      </c>
    </row>
    <row r="878" ht="22.5" customHeight="1">
      <c r="A878" s="6">
        <v>877.0</v>
      </c>
      <c r="B878" s="6" t="str">
        <f>IFERROR(__xludf.DUMMYFUNCTION("""COMPUTED_VALUE"""),"Computer Operator Assistant ")</f>
        <v>Computer Operator Assistant </v>
      </c>
      <c r="C878" s="8" t="s">
        <v>23</v>
      </c>
      <c r="F878" s="6" t="str">
        <f>IFERROR(__xludf.DUMMYFUNCTION("""COMPUTED_VALUE"""),"Nurliani")</f>
        <v>Nurliani</v>
      </c>
      <c r="G878" s="6" t="str">
        <f>IFERROR(__xludf.DUMMYFUNCTION("""COMPUTED_VALUE"""),"7401126205050002")</f>
        <v>7401126205050002</v>
      </c>
      <c r="J878" s="7" t="str">
        <f>IFERROR(__xludf.DUMMYFUNCTION("""COMPUTED_VALUE"""),"PEREMPUAN")</f>
        <v>PEREMPUAN</v>
      </c>
      <c r="K878" s="6" t="str">
        <f>IFERROR(__xludf.DUMMYFUNCTION("""COMPUTED_VALUE"""),"Dusun II Anggowala, Desa Baula, Kec. Baula, Kab. Kolaka")</f>
        <v>Dusun II Anggowala, Desa Baula, Kec. Baula, Kab. Kolaka</v>
      </c>
      <c r="R878" s="7" t="str">
        <f>IFERROR(__xludf.DUMMYFUNCTION("""COMPUTED_VALUE"""),"K")</f>
        <v>K</v>
      </c>
    </row>
    <row r="879" ht="22.5" customHeight="1">
      <c r="A879" s="6">
        <v>878.0</v>
      </c>
      <c r="B879" s="6" t="str">
        <f>IFERROR(__xludf.DUMMYFUNCTION("""COMPUTED_VALUE"""),"Computer Operator Assistant ")</f>
        <v>Computer Operator Assistant </v>
      </c>
      <c r="C879" s="8" t="s">
        <v>23</v>
      </c>
      <c r="F879" s="6" t="str">
        <f>IFERROR(__xludf.DUMMYFUNCTION("""COMPUTED_VALUE"""),"Reva Anindita")</f>
        <v>Reva Anindita</v>
      </c>
      <c r="G879" s="6" t="str">
        <f>IFERROR(__xludf.DUMMYFUNCTION("""COMPUTED_VALUE"""),"7401145912070002")</f>
        <v>7401145912070002</v>
      </c>
      <c r="J879" s="7" t="str">
        <f>IFERROR(__xludf.DUMMYFUNCTION("""COMPUTED_VALUE"""),"PEREMPUAN")</f>
        <v>PEREMPUAN</v>
      </c>
      <c r="K879" s="6" t="str">
        <f>IFERROR(__xludf.DUMMYFUNCTION("""COMPUTED_VALUE"""),"Jl. Abadi No.53, Kel. Kolakaasi, Kec. Latambaga, Kab. Kolaka")</f>
        <v>Jl. Abadi No.53, Kel. Kolakaasi, Kec. Latambaga, Kab. Kolaka</v>
      </c>
      <c r="R879" s="7" t="str">
        <f>IFERROR(__xludf.DUMMYFUNCTION("""COMPUTED_VALUE"""),"K")</f>
        <v>K</v>
      </c>
    </row>
    <row r="880" ht="22.5" customHeight="1">
      <c r="A880" s="6">
        <v>879.0</v>
      </c>
      <c r="B880" s="6" t="str">
        <f>IFERROR(__xludf.DUMMYFUNCTION("""COMPUTED_VALUE"""),"Computer Operator Assistant ")</f>
        <v>Computer Operator Assistant </v>
      </c>
      <c r="C880" s="8" t="s">
        <v>23</v>
      </c>
      <c r="F880" s="6" t="str">
        <f>IFERROR(__xludf.DUMMYFUNCTION("""COMPUTED_VALUE"""),"Ulfiah Salsabilla Kurniawan")</f>
        <v>Ulfiah Salsabilla Kurniawan</v>
      </c>
      <c r="G880" s="6" t="str">
        <f>IFERROR(__xludf.DUMMYFUNCTION("""COMPUTED_VALUE"""),"7401045503060001")</f>
        <v>7401045503060001</v>
      </c>
      <c r="J880" s="7" t="str">
        <f>IFERROR(__xludf.DUMMYFUNCTION("""COMPUTED_VALUE"""),"PEREMPUAN")</f>
        <v>PEREMPUAN</v>
      </c>
      <c r="K880" s="6" t="str">
        <f>IFERROR(__xludf.DUMMYFUNCTION("""COMPUTED_VALUE"""),"Jl. Pemuda, Kel. Balandete, kec. Kolaka, Kab. Kolaka")</f>
        <v>Jl. Pemuda, Kel. Balandete, kec. Kolaka, Kab. Kolaka</v>
      </c>
      <c r="R880" s="7" t="str">
        <f>IFERROR(__xludf.DUMMYFUNCTION("""COMPUTED_VALUE"""),"K")</f>
        <v>K</v>
      </c>
    </row>
    <row r="881" ht="22.5" customHeight="1">
      <c r="A881" s="6">
        <v>880.0</v>
      </c>
      <c r="B881" s="6" t="str">
        <f>IFERROR(__xludf.DUMMYFUNCTION("""COMPUTED_VALUE"""),"Computer Operator Assistant ")</f>
        <v>Computer Operator Assistant </v>
      </c>
      <c r="C881" s="8" t="s">
        <v>22</v>
      </c>
      <c r="F881" s="6" t="str">
        <f>IFERROR(__xludf.DUMMYFUNCTION("""COMPUTED_VALUE"""),"ANDI ADIN DWI WARDANA")</f>
        <v>ANDI ADIN DWI WARDANA</v>
      </c>
      <c r="G881" s="6" t="str">
        <f>IFERROR(__xludf.DUMMYFUNCTION("""COMPUTED_VALUE"""),"7471080107990028")</f>
        <v>7471080107990028</v>
      </c>
      <c r="J881" s="7" t="str">
        <f>IFERROR(__xludf.DUMMYFUNCTION("""COMPUTED_VALUE"""),"LAKI-LAKI")</f>
        <v>LAKI-LAKI</v>
      </c>
      <c r="K881" s="6" t="str">
        <f>IFERROR(__xludf.DUMMYFUNCTION("""COMPUTED_VALUE"""),"JL. BRIGJEN A SUGIANTO")</f>
        <v>JL. BRIGJEN A SUGIANTO</v>
      </c>
      <c r="R881" s="7" t="str">
        <f>IFERROR(__xludf.DUMMYFUNCTION("""COMPUTED_VALUE"""),"K")</f>
        <v>K</v>
      </c>
    </row>
    <row r="882" ht="22.5" customHeight="1">
      <c r="A882" s="6">
        <v>881.0</v>
      </c>
      <c r="B882" s="6" t="str">
        <f>IFERROR(__xludf.DUMMYFUNCTION("""COMPUTED_VALUE"""),"Computer Operator Assistant ")</f>
        <v>Computer Operator Assistant </v>
      </c>
      <c r="C882" s="8" t="s">
        <v>22</v>
      </c>
      <c r="F882" s="6" t="str">
        <f>IFERROR(__xludf.DUMMYFUNCTION("""COMPUTED_VALUE"""),"ANNISA TIARA AMIR")</f>
        <v>ANNISA TIARA AMIR</v>
      </c>
      <c r="G882" s="6" t="str">
        <f>IFERROR(__xludf.DUMMYFUNCTION("""COMPUTED_VALUE"""),"7306084608060007")</f>
        <v>7306084608060007</v>
      </c>
      <c r="J882" s="7" t="str">
        <f>IFERROR(__xludf.DUMMYFUNCTION("""COMPUTED_VALUE"""),"PEREMPUAN")</f>
        <v>PEREMPUAN</v>
      </c>
      <c r="K882" s="6" t="str">
        <f>IFERROR(__xludf.DUMMYFUNCTION("""COMPUTED_VALUE"""),"BTN MUTIARA ATIRA 3 BARUGA ")</f>
        <v>BTN MUTIARA ATIRA 3 BARUGA </v>
      </c>
      <c r="R882" s="7" t="str">
        <f>IFERROR(__xludf.DUMMYFUNCTION("""COMPUTED_VALUE"""),"K")</f>
        <v>K</v>
      </c>
    </row>
    <row r="883" ht="22.5" customHeight="1">
      <c r="A883" s="6">
        <v>882.0</v>
      </c>
      <c r="B883" s="6" t="str">
        <f>IFERROR(__xludf.DUMMYFUNCTION("""COMPUTED_VALUE"""),"Computer Operator Assistant ")</f>
        <v>Computer Operator Assistant </v>
      </c>
      <c r="C883" s="8" t="s">
        <v>22</v>
      </c>
      <c r="F883" s="6" t="str">
        <f>IFERROR(__xludf.DUMMYFUNCTION("""COMPUTED_VALUE"""),"AQILAH SUCIAFITRA ")</f>
        <v>AQILAH SUCIAFITRA </v>
      </c>
      <c r="G883" s="6" t="str">
        <f>IFERROR(__xludf.DUMMYFUNCTION("""COMPUTED_VALUE"""),"7401036206050001")</f>
        <v>7401036206050001</v>
      </c>
      <c r="J883" s="7" t="str">
        <f>IFERROR(__xludf.DUMMYFUNCTION("""COMPUTED_VALUE"""),"PEREMPUAN")</f>
        <v>PEREMPUAN</v>
      </c>
      <c r="K883" s="6" t="str">
        <f>IFERROR(__xludf.DUMMYFUNCTION("""COMPUTED_VALUE"""),"Lrg, Rezky hidayatullah ")</f>
        <v>Lrg, Rezky hidayatullah </v>
      </c>
      <c r="R883" s="7" t="str">
        <f>IFERROR(__xludf.DUMMYFUNCTION("""COMPUTED_VALUE"""),"K")</f>
        <v>K</v>
      </c>
    </row>
    <row r="884" ht="22.5" customHeight="1">
      <c r="A884" s="6">
        <v>883.0</v>
      </c>
      <c r="B884" s="6" t="str">
        <f>IFERROR(__xludf.DUMMYFUNCTION("""COMPUTED_VALUE"""),"Computer Operator Assistant ")</f>
        <v>Computer Operator Assistant </v>
      </c>
      <c r="C884" s="8" t="s">
        <v>22</v>
      </c>
      <c r="F884" s="6" t="str">
        <f>IFERROR(__xludf.DUMMYFUNCTION("""COMPUTED_VALUE"""),"ASKIA PUTRI R. BASANUNGGU")</f>
        <v>ASKIA PUTRI R. BASANUNGGU</v>
      </c>
      <c r="G884" s="6" t="str">
        <f>IFERROR(__xludf.DUMMYFUNCTION("""COMPUTED_VALUE"""),"7405074811060001")</f>
        <v>7405074811060001</v>
      </c>
      <c r="J884" s="7" t="str">
        <f>IFERROR(__xludf.DUMMYFUNCTION("""COMPUTED_VALUE"""),"PEREMPUAN")</f>
        <v>PEREMPUAN</v>
      </c>
      <c r="K884" s="6" t="str">
        <f>IFERROR(__xludf.DUMMYFUNCTION("""COMPUTED_VALUE"""),"Ambololi, Kec. Konda, Kab. Konawe Selatan")</f>
        <v>Ambololi, Kec. Konda, Kab. Konawe Selatan</v>
      </c>
      <c r="R884" s="7" t="str">
        <f>IFERROR(__xludf.DUMMYFUNCTION("""COMPUTED_VALUE"""),"K")</f>
        <v>K</v>
      </c>
    </row>
    <row r="885" ht="22.5" customHeight="1">
      <c r="A885" s="6">
        <v>884.0</v>
      </c>
      <c r="B885" s="6" t="str">
        <f>IFERROR(__xludf.DUMMYFUNCTION("""COMPUTED_VALUE"""),"Computer Operator Assistant ")</f>
        <v>Computer Operator Assistant </v>
      </c>
      <c r="C885" s="8" t="s">
        <v>22</v>
      </c>
      <c r="F885" s="6" t="str">
        <f>IFERROR(__xludf.DUMMYFUNCTION("""COMPUTED_VALUE"""),"FAISHAL ABDULLAH")</f>
        <v>FAISHAL ABDULLAH</v>
      </c>
      <c r="G885" s="6" t="str">
        <f>IFERROR(__xludf.DUMMYFUNCTION("""COMPUTED_VALUE"""),"7471052806950001")</f>
        <v>7471052806950001</v>
      </c>
      <c r="J885" s="7" t="str">
        <f>IFERROR(__xludf.DUMMYFUNCTION("""COMPUTED_VALUE"""),"LAKI-LAKI")</f>
        <v>LAKI-LAKI</v>
      </c>
      <c r="K885" s="6" t="str">
        <f>IFERROR(__xludf.DUMMYFUNCTION("""COMPUTED_VALUE"""),"Jln.Bunga Matahari I no.25")</f>
        <v>Jln.Bunga Matahari I no.25</v>
      </c>
      <c r="R885" s="7" t="str">
        <f>IFERROR(__xludf.DUMMYFUNCTION("""COMPUTED_VALUE"""),"K")</f>
        <v>K</v>
      </c>
    </row>
    <row r="886" ht="22.5" customHeight="1">
      <c r="A886" s="6">
        <v>885.0</v>
      </c>
      <c r="B886" s="6" t="str">
        <f>IFERROR(__xludf.DUMMYFUNCTION("""COMPUTED_VALUE"""),"Computer Operator Assistant ")</f>
        <v>Computer Operator Assistant </v>
      </c>
      <c r="C886" s="8" t="s">
        <v>22</v>
      </c>
      <c r="F886" s="6" t="str">
        <f>IFERROR(__xludf.DUMMYFUNCTION("""COMPUTED_VALUE"""),"GIANY OLIVIA ARSAL")</f>
        <v>GIANY OLIVIA ARSAL</v>
      </c>
      <c r="G886" s="6" t="str">
        <f>IFERROR(__xludf.DUMMYFUNCTION("""COMPUTED_VALUE"""),"7471055603050003")</f>
        <v>7471055603050003</v>
      </c>
      <c r="J886" s="7" t="str">
        <f>IFERROR(__xludf.DUMMYFUNCTION("""COMPUTED_VALUE"""),"PEREMPUAN")</f>
        <v>PEREMPUAN</v>
      </c>
      <c r="K886" s="6" t="str">
        <f>IFERROR(__xludf.DUMMYFUNCTION("""COMPUTED_VALUE"""),"Jln Kijang")</f>
        <v>Jln Kijang</v>
      </c>
      <c r="R886" s="7" t="str">
        <f>IFERROR(__xludf.DUMMYFUNCTION("""COMPUTED_VALUE"""),"K")</f>
        <v>K</v>
      </c>
    </row>
    <row r="887" ht="22.5" customHeight="1">
      <c r="A887" s="6">
        <v>886.0</v>
      </c>
      <c r="B887" s="6" t="str">
        <f>IFERROR(__xludf.DUMMYFUNCTION("""COMPUTED_VALUE"""),"Computer Operator Assistant ")</f>
        <v>Computer Operator Assistant </v>
      </c>
      <c r="C887" s="8" t="s">
        <v>22</v>
      </c>
      <c r="F887" s="6" t="str">
        <f>IFERROR(__xludf.DUMMYFUNCTION("""COMPUTED_VALUE"""),"HASMAYANI")</f>
        <v>HASMAYANI</v>
      </c>
      <c r="G887" s="6" t="str">
        <f>IFERROR(__xludf.DUMMYFUNCTION("""COMPUTED_VALUE"""),"7405086310030003")</f>
        <v>7405086310030003</v>
      </c>
      <c r="J887" s="7" t="str">
        <f>IFERROR(__xludf.DUMMYFUNCTION("""COMPUTED_VALUE"""),"PEREMPUAN")</f>
        <v>PEREMPUAN</v>
      </c>
      <c r="K887" s="6" t="str">
        <f>IFERROR(__xludf.DUMMYFUNCTION("""COMPUTED_VALUE"""),"Ranomeeto, Kec. Ranomeeto, Kab. Konawe Selatan")</f>
        <v>Ranomeeto, Kec. Ranomeeto, Kab. Konawe Selatan</v>
      </c>
      <c r="R887" s="7" t="str">
        <f>IFERROR(__xludf.DUMMYFUNCTION("""COMPUTED_VALUE"""),"K")</f>
        <v>K</v>
      </c>
    </row>
    <row r="888" ht="22.5" customHeight="1">
      <c r="A888" s="6">
        <v>887.0</v>
      </c>
      <c r="B888" s="6" t="str">
        <f>IFERROR(__xludf.DUMMYFUNCTION("""COMPUTED_VALUE"""),"Computer Operator Assistant ")</f>
        <v>Computer Operator Assistant </v>
      </c>
      <c r="C888" s="8" t="s">
        <v>22</v>
      </c>
      <c r="F888" s="6" t="str">
        <f>IFERROR(__xludf.DUMMYFUNCTION("""COMPUTED_VALUE"""),"HELMI YATIN")</f>
        <v>HELMI YATIN</v>
      </c>
      <c r="G888" s="6" t="str">
        <f>IFERROR(__xludf.DUMMYFUNCTION("""COMPUTED_VALUE"""),"7471016510990001")</f>
        <v>7471016510990001</v>
      </c>
      <c r="J888" s="7" t="str">
        <f>IFERROR(__xludf.DUMMYFUNCTION("""COMPUTED_VALUE"""),"PEREMPUAN")</f>
        <v>PEREMPUAN</v>
      </c>
      <c r="K888" s="6" t="str">
        <f>IFERROR(__xludf.DUMMYFUNCTION("""COMPUTED_VALUE"""),"JL. IMAM BONJOL")</f>
        <v>JL. IMAM BONJOL</v>
      </c>
      <c r="R888" s="7" t="str">
        <f>IFERROR(__xludf.DUMMYFUNCTION("""COMPUTED_VALUE"""),"K")</f>
        <v>K</v>
      </c>
    </row>
    <row r="889" ht="22.5" customHeight="1">
      <c r="A889" s="6">
        <v>888.0</v>
      </c>
      <c r="B889" s="6" t="str">
        <f>IFERROR(__xludf.DUMMYFUNCTION("""COMPUTED_VALUE"""),"Computer Operator Assistant ")</f>
        <v>Computer Operator Assistant </v>
      </c>
      <c r="C889" s="8" t="s">
        <v>22</v>
      </c>
      <c r="F889" s="6" t="str">
        <f>IFERROR(__xludf.DUMMYFUNCTION("""COMPUTED_VALUE"""),"MUH SABRI")</f>
        <v>MUH SABRI</v>
      </c>
      <c r="G889" s="6" t="str">
        <f>IFERROR(__xludf.DUMMYFUNCTION("""COMPUTED_VALUE"""),"7471061505040001")</f>
        <v>7471061505040001</v>
      </c>
      <c r="J889" s="7" t="str">
        <f>IFERROR(__xludf.DUMMYFUNCTION("""COMPUTED_VALUE"""),"LAKI-LAKI")</f>
        <v>LAKI-LAKI</v>
      </c>
      <c r="K889" s="6" t="str">
        <f>IFERROR(__xludf.DUMMYFUNCTION("""COMPUTED_VALUE"""),"JL. Garuda No. 21, Kel. Petoaha, Kec. Nambo, Kota Kendari")</f>
        <v>JL. Garuda No. 21, Kel. Petoaha, Kec. Nambo, Kota Kendari</v>
      </c>
      <c r="R889" s="7" t="str">
        <f>IFERROR(__xludf.DUMMYFUNCTION("""COMPUTED_VALUE"""),"K")</f>
        <v>K</v>
      </c>
    </row>
    <row r="890" ht="22.5" customHeight="1">
      <c r="A890" s="6">
        <v>889.0</v>
      </c>
      <c r="B890" s="6" t="str">
        <f>IFERROR(__xludf.DUMMYFUNCTION("""COMPUTED_VALUE"""),"Computer Operator Assistant ")</f>
        <v>Computer Operator Assistant </v>
      </c>
      <c r="C890" s="8" t="s">
        <v>22</v>
      </c>
      <c r="F890" s="6" t="str">
        <f>IFERROR(__xludf.DUMMYFUNCTION("""COMPUTED_VALUE"""),"MUHAMAD IZHAR WARDANA")</f>
        <v>MUHAMAD IZHAR WARDANA</v>
      </c>
      <c r="G890" s="6" t="str">
        <f>IFERROR(__xludf.DUMMYFUNCTION("""COMPUTED_VALUE"""),"7471050206000002")</f>
        <v>7471050206000002</v>
      </c>
      <c r="J890" s="7" t="str">
        <f>IFERROR(__xludf.DUMMYFUNCTION("""COMPUTED_VALUE"""),"LAKI-LAKI")</f>
        <v>LAKI-LAKI</v>
      </c>
      <c r="K890" s="6" t="str">
        <f>IFERROR(__xludf.DUMMYFUNCTION("""COMPUTED_VALUE"""),"BTN GRAHA MANDIRI PERMAI BLOCK I NO 15")</f>
        <v>BTN GRAHA MANDIRI PERMAI BLOCK I NO 15</v>
      </c>
      <c r="R890" s="7" t="str">
        <f>IFERROR(__xludf.DUMMYFUNCTION("""COMPUTED_VALUE"""),"K")</f>
        <v>K</v>
      </c>
    </row>
    <row r="891" ht="22.5" customHeight="1">
      <c r="A891" s="6">
        <v>890.0</v>
      </c>
      <c r="B891" s="6" t="str">
        <f>IFERROR(__xludf.DUMMYFUNCTION("""COMPUTED_VALUE"""),"Computer Operator Assistant ")</f>
        <v>Computer Operator Assistant </v>
      </c>
      <c r="C891" s="8" t="s">
        <v>22</v>
      </c>
      <c r="F891" s="6" t="str">
        <f>IFERROR(__xludf.DUMMYFUNCTION("""COMPUTED_VALUE"""),"MUHAMMAD ALGAZEL ZULYADAIN")</f>
        <v>MUHAMMAD ALGAZEL ZULYADAIN</v>
      </c>
      <c r="G891" s="6" t="str">
        <f>IFERROR(__xludf.DUMMYFUNCTION("""COMPUTED_VALUE"""),"7402191005030002")</f>
        <v>7402191005030002</v>
      </c>
      <c r="J891" s="7" t="str">
        <f>IFERROR(__xludf.DUMMYFUNCTION("""COMPUTED_VALUE"""),"LAKI-LAKI")</f>
        <v>LAKI-LAKI</v>
      </c>
      <c r="K891" s="6" t="str">
        <f>IFERROR(__xludf.DUMMYFUNCTION("""COMPUTED_VALUE"""),"Kadia")</f>
        <v>Kadia</v>
      </c>
      <c r="R891" s="7" t="str">
        <f>IFERROR(__xludf.DUMMYFUNCTION("""COMPUTED_VALUE"""),"K")</f>
        <v>K</v>
      </c>
    </row>
    <row r="892" ht="22.5" customHeight="1">
      <c r="A892" s="6">
        <v>891.0</v>
      </c>
      <c r="B892" s="6" t="str">
        <f>IFERROR(__xludf.DUMMYFUNCTION("""COMPUTED_VALUE"""),"Computer Operator Assistant ")</f>
        <v>Computer Operator Assistant </v>
      </c>
      <c r="C892" s="8" t="s">
        <v>22</v>
      </c>
      <c r="F892" s="6" t="str">
        <f>IFERROR(__xludf.DUMMYFUNCTION("""COMPUTED_VALUE"""),"MUHAMMAD FAKIN WIRANATA ")</f>
        <v>MUHAMMAD FAKIN WIRANATA </v>
      </c>
      <c r="G892" s="6" t="str">
        <f>IFERROR(__xludf.DUMMYFUNCTION("""COMPUTED_VALUE"""),"7471051709980001")</f>
        <v>7471051709980001</v>
      </c>
      <c r="J892" s="7" t="str">
        <f>IFERROR(__xludf.DUMMYFUNCTION("""COMPUTED_VALUE"""),"LAKI-LAKI")</f>
        <v>LAKI-LAKI</v>
      </c>
      <c r="K892" s="6" t="str">
        <f>IFERROR(__xludf.DUMMYFUNCTION("""COMPUTED_VALUE"""),"JL.BUNGA MATAHARI 1 NO. 29 RT/RW 002/001 KEL. LAHUNDAPE KEC. KENDARI BARAT")</f>
        <v>JL.BUNGA MATAHARI 1 NO. 29 RT/RW 002/001 KEL. LAHUNDAPE KEC. KENDARI BARAT</v>
      </c>
      <c r="R892" s="7" t="str">
        <f>IFERROR(__xludf.DUMMYFUNCTION("""COMPUTED_VALUE"""),"K")</f>
        <v>K</v>
      </c>
    </row>
    <row r="893" ht="22.5" customHeight="1">
      <c r="A893" s="6">
        <v>892.0</v>
      </c>
      <c r="B893" s="6" t="str">
        <f>IFERROR(__xludf.DUMMYFUNCTION("""COMPUTED_VALUE"""),"Computer Operator Assistant ")</f>
        <v>Computer Operator Assistant </v>
      </c>
      <c r="C893" s="8" t="s">
        <v>22</v>
      </c>
      <c r="F893" s="6" t="str">
        <f>IFERROR(__xludf.DUMMYFUNCTION("""COMPUTED_VALUE"""),"NUR RESA INDARWATI RAZAK")</f>
        <v>NUR RESA INDARWATI RAZAK</v>
      </c>
      <c r="G893" s="6" t="str">
        <f>IFERROR(__xludf.DUMMYFUNCTION("""COMPUTED_VALUE"""),"7471016701010003")</f>
        <v>7471016701010003</v>
      </c>
      <c r="J893" s="7" t="str">
        <f>IFERROR(__xludf.DUMMYFUNCTION("""COMPUTED_VALUE"""),"PEREMPUAN")</f>
        <v>PEREMPUAN</v>
      </c>
      <c r="K893" s="6" t="str">
        <f>IFERROR(__xludf.DUMMYFUNCTION("""COMPUTED_VALUE"""),"JLN. R. SUPRAPTO")</f>
        <v>JLN. R. SUPRAPTO</v>
      </c>
      <c r="R893" s="7" t="str">
        <f>IFERROR(__xludf.DUMMYFUNCTION("""COMPUTED_VALUE"""),"K")</f>
        <v>K</v>
      </c>
    </row>
    <row r="894" ht="22.5" customHeight="1">
      <c r="A894" s="6">
        <v>893.0</v>
      </c>
      <c r="B894" s="6" t="str">
        <f>IFERROR(__xludf.DUMMYFUNCTION("""COMPUTED_VALUE"""),"Computer Operator Assistant ")</f>
        <v>Computer Operator Assistant </v>
      </c>
      <c r="C894" s="8" t="s">
        <v>22</v>
      </c>
      <c r="F894" s="6" t="str">
        <f>IFERROR(__xludf.DUMMYFUNCTION("""COMPUTED_VALUE"""),"NURJANI")</f>
        <v>NURJANI</v>
      </c>
      <c r="G894" s="6" t="str">
        <f>IFERROR(__xludf.DUMMYFUNCTION("""COMPUTED_VALUE"""),"7471025111060001")</f>
        <v>7471025111060001</v>
      </c>
      <c r="J894" s="7" t="str">
        <f>IFERROR(__xludf.DUMMYFUNCTION("""COMPUTED_VALUE"""),"PEREMPUAN")</f>
        <v>PEREMPUAN</v>
      </c>
      <c r="K894" s="6" t="str">
        <f>IFERROR(__xludf.DUMMYFUNCTION("""COMPUTED_VALUE"""),"KEL. MANGGA DUA")</f>
        <v>KEL. MANGGA DUA</v>
      </c>
      <c r="R894" s="7" t="str">
        <f>IFERROR(__xludf.DUMMYFUNCTION("""COMPUTED_VALUE"""),"K")</f>
        <v>K</v>
      </c>
    </row>
    <row r="895" ht="22.5" customHeight="1">
      <c r="A895" s="6">
        <v>894.0</v>
      </c>
      <c r="B895" s="6" t="str">
        <f>IFERROR(__xludf.DUMMYFUNCTION("""COMPUTED_VALUE"""),"Computer Operator Assistant ")</f>
        <v>Computer Operator Assistant </v>
      </c>
      <c r="C895" s="8" t="s">
        <v>22</v>
      </c>
      <c r="F895" s="6" t="str">
        <f>IFERROR(__xludf.DUMMYFUNCTION("""COMPUTED_VALUE"""),"ROSMAYANTI")</f>
        <v>ROSMAYANTI</v>
      </c>
      <c r="G895" s="6" t="str">
        <f>IFERROR(__xludf.DUMMYFUNCTION("""COMPUTED_VALUE"""),"7406145611040001")</f>
        <v>7406145611040001</v>
      </c>
      <c r="J895" s="7" t="str">
        <f>IFERROR(__xludf.DUMMYFUNCTION("""COMPUTED_VALUE"""),"PEREMPUAN")</f>
        <v>PEREMPUAN</v>
      </c>
      <c r="K895" s="6" t="str">
        <f>IFERROR(__xludf.DUMMYFUNCTION("""COMPUTED_VALUE"""),"SIKELI, KEC. KABAENA BARAT, KAB. BOMBANA")</f>
        <v>SIKELI, KEC. KABAENA BARAT, KAB. BOMBANA</v>
      </c>
      <c r="R895" s="7" t="str">
        <f>IFERROR(__xludf.DUMMYFUNCTION("""COMPUTED_VALUE"""),"K")</f>
        <v>K</v>
      </c>
    </row>
    <row r="896" ht="22.5" customHeight="1">
      <c r="A896" s="6">
        <v>895.0</v>
      </c>
      <c r="B896" s="6" t="str">
        <f>IFERROR(__xludf.DUMMYFUNCTION("""COMPUTED_VALUE"""),"Computer Operator Assistant ")</f>
        <v>Computer Operator Assistant </v>
      </c>
      <c r="C896" s="8" t="s">
        <v>22</v>
      </c>
      <c r="F896" s="6" t="str">
        <f>IFERROR(__xludf.DUMMYFUNCTION("""COMPUTED_VALUE"""),"VELLA ZULAIHA PUTRI")</f>
        <v>VELLA ZULAIHA PUTRI</v>
      </c>
      <c r="G896" s="6" t="str">
        <f>IFERROR(__xludf.DUMMYFUNCTION("""COMPUTED_VALUE"""),"7405085007010002")</f>
        <v>7405085007010002</v>
      </c>
      <c r="J896" s="7" t="str">
        <f>IFERROR(__xludf.DUMMYFUNCTION("""COMPUTED_VALUE"""),"PEREMPUAN")</f>
        <v>PEREMPUAN</v>
      </c>
      <c r="K896" s="6" t="str">
        <f>IFERROR(__xludf.DUMMYFUNCTION("""COMPUTED_VALUE"""),"JL.MAWAR,DS.KOTA BANGUN,KEC.RANOMEETO,KAB.KONAWE SELATAN")</f>
        <v>JL.MAWAR,DS.KOTA BANGUN,KEC.RANOMEETO,KAB.KONAWE SELATAN</v>
      </c>
      <c r="R896" s="7" t="str">
        <f>IFERROR(__xludf.DUMMYFUNCTION("""COMPUTED_VALUE"""),"K")</f>
        <v>K</v>
      </c>
    </row>
    <row r="897" ht="22.5" customHeight="1">
      <c r="A897" s="6">
        <v>896.0</v>
      </c>
      <c r="B897" s="6" t="str">
        <f>IFERROR(__xludf.DUMMYFUNCTION("""COMPUTED_VALUE"""),"Computer Operator Assistant ")</f>
        <v>Computer Operator Assistant </v>
      </c>
      <c r="C897" s="8" t="s">
        <v>22</v>
      </c>
      <c r="F897" s="6" t="str">
        <f>IFERROR(__xludf.DUMMYFUNCTION("""COMPUTED_VALUE"""),"VEN SHELYANA DUMA")</f>
        <v>VEN SHELYANA DUMA</v>
      </c>
      <c r="G897" s="6" t="str">
        <f>IFERROR(__xludf.DUMMYFUNCTION("""COMPUTED_VALUE"""),"7405075407040001")</f>
        <v>7405075407040001</v>
      </c>
      <c r="J897" s="7" t="str">
        <f>IFERROR(__xludf.DUMMYFUNCTION("""COMPUTED_VALUE"""),"PEREMPUAN")</f>
        <v>PEREMPUAN</v>
      </c>
      <c r="K897" s="6" t="str">
        <f>IFERROR(__xludf.DUMMYFUNCTION("""COMPUTED_VALUE"""),"DESA PAMBULSA JAYA, KEC.KONDA, KAB. KONAWE SELATAN ")</f>
        <v>DESA PAMBULSA JAYA, KEC.KONDA, KAB. KONAWE SELATAN </v>
      </c>
      <c r="R897" s="7" t="str">
        <f>IFERROR(__xludf.DUMMYFUNCTION("""COMPUTED_VALUE"""),"K")</f>
        <v>K</v>
      </c>
    </row>
    <row r="898" ht="22.5" customHeight="1">
      <c r="A898" s="6">
        <v>897.0</v>
      </c>
      <c r="B898" s="6" t="str">
        <f>IFERROR(__xludf.DUMMYFUNCTION("""COMPUTED_VALUE"""),"Computer Operator Assistant ")</f>
        <v>Computer Operator Assistant </v>
      </c>
      <c r="C898" s="8" t="s">
        <v>22</v>
      </c>
      <c r="F898" s="6" t="str">
        <f>IFERROR(__xludf.DUMMYFUNCTION("""COMPUTED_VALUE"""),"VILSA ARINA ZAHRA")</f>
        <v>VILSA ARINA ZAHRA</v>
      </c>
      <c r="G898" s="6" t="str">
        <f>IFERROR(__xludf.DUMMYFUNCTION("""COMPUTED_VALUE"""),"7371146103070005")</f>
        <v>7371146103070005</v>
      </c>
      <c r="J898" s="7" t="str">
        <f>IFERROR(__xludf.DUMMYFUNCTION("""COMPUTED_VALUE"""),"PEREMPUAN")</f>
        <v>PEREMPUAN</v>
      </c>
      <c r="K898" s="6" t="str">
        <f>IFERROR(__xludf.DUMMYFUNCTION("""COMPUTED_VALUE"""),"JL. D.I PANJAITAN")</f>
        <v>JL. D.I PANJAITAN</v>
      </c>
      <c r="R898" s="7" t="str">
        <f>IFERROR(__xludf.DUMMYFUNCTION("""COMPUTED_VALUE"""),"K")</f>
        <v>K</v>
      </c>
    </row>
    <row r="899" ht="22.5" customHeight="1">
      <c r="A899" s="6">
        <v>898.0</v>
      </c>
      <c r="B899" s="6" t="str">
        <f>IFERROR(__xludf.DUMMYFUNCTION("""COMPUTED_VALUE"""),"Computer Operator Assistant ")</f>
        <v>Computer Operator Assistant </v>
      </c>
      <c r="C899" s="8" t="s">
        <v>22</v>
      </c>
      <c r="F899" s="6" t="str">
        <f>IFERROR(__xludf.DUMMYFUNCTION("""COMPUTED_VALUE"""),"WIWIN NOFITA SARI")</f>
        <v>WIWIN NOFITA SARI</v>
      </c>
      <c r="G899" s="6" t="str">
        <f>IFERROR(__xludf.DUMMYFUNCTION("""COMPUTED_VALUE"""),"7471026901030001")</f>
        <v>7471026901030001</v>
      </c>
      <c r="J899" s="7" t="str">
        <f>IFERROR(__xludf.DUMMYFUNCTION("""COMPUTED_VALUE"""),"PEREMPUAN")</f>
        <v>PEREMPUAN</v>
      </c>
      <c r="K899" s="6" t="str">
        <f>IFERROR(__xludf.DUMMYFUNCTION("""COMPUTED_VALUE"""),"KELURAHAN GUNUNG JATI")</f>
        <v>KELURAHAN GUNUNG JATI</v>
      </c>
      <c r="R899" s="7" t="str">
        <f>IFERROR(__xludf.DUMMYFUNCTION("""COMPUTED_VALUE"""),"K")</f>
        <v>K</v>
      </c>
    </row>
    <row r="900" ht="22.5" customHeight="1">
      <c r="A900" s="6">
        <v>899.0</v>
      </c>
      <c r="B900" s="6" t="str">
        <f>IFERROR(__xludf.DUMMYFUNCTION("""COMPUTED_VALUE"""),"Pengelolaan Administrasi Perkantoraan")</f>
        <v>Pengelolaan Administrasi Perkantoraan</v>
      </c>
      <c r="C900" s="8" t="s">
        <v>22</v>
      </c>
      <c r="F900" s="6" t="str">
        <f>IFERROR(__xludf.DUMMYFUNCTION("""COMPUTED_VALUE"""),"Sahlan")</f>
        <v>Sahlan</v>
      </c>
      <c r="G900" s="6" t="str">
        <f>IFERROR(__xludf.DUMMYFUNCTION("""COMPUTED_VALUE"""),"7403170705040001")</f>
        <v>7403170705040001</v>
      </c>
      <c r="J900" s="7" t="str">
        <f>IFERROR(__xludf.DUMMYFUNCTION("""COMPUTED_VALUE"""),"LAKI-LAKI")</f>
        <v>LAKI-LAKI</v>
      </c>
      <c r="K900" s="6" t="str">
        <f>IFERROR(__xludf.DUMMYFUNCTION("""COMPUTED_VALUE"""),"Desa Lasosodo, kec. Wadaga, kab. Muna Barat")</f>
        <v>Desa Lasosodo, kec. Wadaga, kab. Muna Barat</v>
      </c>
      <c r="R900" s="7" t="str">
        <f>IFERROR(__xludf.DUMMYFUNCTION("""COMPUTED_VALUE"""),"K")</f>
        <v>K</v>
      </c>
    </row>
    <row r="901" ht="22.5" customHeight="1">
      <c r="A901" s="6">
        <v>900.0</v>
      </c>
      <c r="B901" s="6" t="str">
        <f>IFERROR(__xludf.DUMMYFUNCTION("""COMPUTED_VALUE"""),"Analis Data (Data Analyst)")</f>
        <v>Analis Data (Data Analyst)</v>
      </c>
      <c r="C901" s="8" t="s">
        <v>22</v>
      </c>
      <c r="F901" s="6" t="str">
        <f>IFERROR(__xludf.DUMMYFUNCTION("""COMPUTED_VALUE"""),"Alni")</f>
        <v>Alni</v>
      </c>
      <c r="G901" s="6" t="str">
        <f>IFERROR(__xludf.DUMMYFUNCTION("""COMPUTED_VALUE"""),"7404236709040000")</f>
        <v>7404236709040000</v>
      </c>
      <c r="J901" s="7" t="str">
        <f>IFERROR(__xludf.DUMMYFUNCTION("""COMPUTED_VALUE"""),"PEREMPUAN")</f>
        <v>PEREMPUAN</v>
      </c>
      <c r="K901" s="6" t="str">
        <f>IFERROR(__xludf.DUMMYFUNCTION("""COMPUTED_VALUE"""),"Desa Lapandewa")</f>
        <v>Desa Lapandewa</v>
      </c>
      <c r="R901" s="7" t="str">
        <f>IFERROR(__xludf.DUMMYFUNCTION("""COMPUTED_VALUE"""),"K")</f>
        <v>K</v>
      </c>
    </row>
    <row r="902" ht="22.5" customHeight="1">
      <c r="A902" s="6">
        <v>901.0</v>
      </c>
      <c r="B902" s="6" t="str">
        <f>IFERROR(__xludf.DUMMYFUNCTION("""COMPUTED_VALUE"""),"Analis Data (Data Analyst)")</f>
        <v>Analis Data (Data Analyst)</v>
      </c>
      <c r="C902" s="8" t="s">
        <v>22</v>
      </c>
      <c r="F902" s="6" t="str">
        <f>IFERROR(__xludf.DUMMYFUNCTION("""COMPUTED_VALUE"""),"Adinda Agustina")</f>
        <v>Adinda Agustina</v>
      </c>
      <c r="G902" s="6" t="str">
        <f>IFERROR(__xludf.DUMMYFUNCTION("""COMPUTED_VALUE"""),"7472066208040004")</f>
        <v>7472066208040004</v>
      </c>
      <c r="J902" s="7" t="str">
        <f>IFERROR(__xludf.DUMMYFUNCTION("""COMPUTED_VALUE"""),"PEREMPUAN")</f>
        <v>PEREMPUAN</v>
      </c>
      <c r="K902" s="6" t="str">
        <f>IFERROR(__xludf.DUMMYFUNCTION("""COMPUTED_VALUE"""),"Jalan Hayam Wuruk Kelurahan Tarufu")</f>
        <v>Jalan Hayam Wuruk Kelurahan Tarufu</v>
      </c>
      <c r="R902" s="7" t="str">
        <f>IFERROR(__xludf.DUMMYFUNCTION("""COMPUTED_VALUE"""),"K")</f>
        <v>K</v>
      </c>
    </row>
    <row r="903" ht="22.5" customHeight="1">
      <c r="A903" s="6">
        <v>902.0</v>
      </c>
      <c r="B903" s="6" t="str">
        <f>IFERROR(__xludf.DUMMYFUNCTION("""COMPUTED_VALUE"""),"Analis Data (Data Analyst)")</f>
        <v>Analis Data (Data Analyst)</v>
      </c>
      <c r="C903" s="8" t="s">
        <v>22</v>
      </c>
      <c r="F903" s="6" t="str">
        <f>IFERROR(__xludf.DUMMYFUNCTION("""COMPUTED_VALUE"""),"Andi Nurainun")</f>
        <v>Andi Nurainun</v>
      </c>
      <c r="G903" s="6" t="str">
        <f>IFERROR(__xludf.DUMMYFUNCTION("""COMPUTED_VALUE"""),"7472025001010001")</f>
        <v>7472025001010001</v>
      </c>
      <c r="J903" s="7" t="str">
        <f>IFERROR(__xludf.DUMMYFUNCTION("""COMPUTED_VALUE"""),"PEREMPUAN")</f>
        <v>PEREMPUAN</v>
      </c>
      <c r="K903" s="6" t="str">
        <f>IFERROR(__xludf.DUMMYFUNCTION("""COMPUTED_VALUE"""),"Jalan Kelapa Kilo 1 Lorong 1 No 9")</f>
        <v>Jalan Kelapa Kilo 1 Lorong 1 No 9</v>
      </c>
      <c r="R903" s="7" t="str">
        <f>IFERROR(__xludf.DUMMYFUNCTION("""COMPUTED_VALUE"""),"K")</f>
        <v>K</v>
      </c>
    </row>
    <row r="904" ht="22.5" customHeight="1">
      <c r="A904" s="6">
        <v>903.0</v>
      </c>
      <c r="B904" s="6" t="str">
        <f>IFERROR(__xludf.DUMMYFUNCTION("""COMPUTED_VALUE"""),"Pengelolaan Administrasi Perkantoraan")</f>
        <v>Pengelolaan Administrasi Perkantoraan</v>
      </c>
      <c r="C904" s="8" t="s">
        <v>22</v>
      </c>
      <c r="F904" s="6" t="str">
        <f>IFERROR(__xludf.DUMMYFUNCTION("""COMPUTED_VALUE"""),"Ida Fadhillah As'adiyah")</f>
        <v>Ida Fadhillah As'adiyah</v>
      </c>
      <c r="G904" s="6" t="str">
        <f>IFERROR(__xludf.DUMMYFUNCTION("""COMPUTED_VALUE"""),"7403164905040201")</f>
        <v>7403164905040201</v>
      </c>
      <c r="J904" s="7" t="str">
        <f>IFERROR(__xludf.DUMMYFUNCTION("""COMPUTED_VALUE"""),"PEREMPUAN")</f>
        <v>PEREMPUAN</v>
      </c>
      <c r="K904" s="6" t="str">
        <f>IFERROR(__xludf.DUMMYFUNCTION("""COMPUTED_VALUE"""),"Desa Sawerigadi, Kec. Barangka, Kab. Muna Barat")</f>
        <v>Desa Sawerigadi, Kec. Barangka, Kab. Muna Barat</v>
      </c>
      <c r="R904" s="7" t="str">
        <f>IFERROR(__xludf.DUMMYFUNCTION("""COMPUTED_VALUE"""),"K")</f>
        <v>K</v>
      </c>
    </row>
    <row r="905" ht="22.5" customHeight="1">
      <c r="A905" s="6">
        <v>904.0</v>
      </c>
      <c r="B905" s="6" t="str">
        <f>IFERROR(__xludf.DUMMYFUNCTION("""COMPUTED_VALUE"""),"Petugas Keselamatan dan Kesehatan Kerja")</f>
        <v>Petugas Keselamatan dan Kesehatan Kerja</v>
      </c>
      <c r="C905" s="8" t="s">
        <v>22</v>
      </c>
      <c r="F905" s="6" t="str">
        <f>IFERROR(__xludf.DUMMYFUNCTION("""COMPUTED_VALUE"""),"Nabilah Khairunnisa")</f>
        <v>Nabilah Khairunnisa</v>
      </c>
      <c r="G905" s="6" t="str">
        <f>IFERROR(__xludf.DUMMYFUNCTION("""COMPUTED_VALUE"""),"7405035001030001")</f>
        <v>7405035001030001</v>
      </c>
      <c r="J905" s="7" t="str">
        <f>IFERROR(__xludf.DUMMYFUNCTION("""COMPUTED_VALUE"""),"PEREMPUAN")</f>
        <v>PEREMPUAN</v>
      </c>
      <c r="K905" s="6" t="str">
        <f>IFERROR(__xludf.DUMMYFUNCTION("""COMPUTED_VALUE"""),"perumahan baruga permai blok E2 no.2")</f>
        <v>perumahan baruga permai blok E2 no.2</v>
      </c>
      <c r="R905" s="7" t="str">
        <f>IFERROR(__xludf.DUMMYFUNCTION("""COMPUTED_VALUE"""),"BK")</f>
        <v>BK</v>
      </c>
    </row>
    <row r="906" ht="22.5" customHeight="1">
      <c r="A906" s="6">
        <v>905.0</v>
      </c>
      <c r="B906" s="6" t="str">
        <f>IFERROR(__xludf.DUMMYFUNCTION("""COMPUTED_VALUE"""),"Petugas Keselamatan dan Kesehatan Kerja")</f>
        <v>Petugas Keselamatan dan Kesehatan Kerja</v>
      </c>
      <c r="C906" s="8" t="s">
        <v>22</v>
      </c>
      <c r="F906" s="6" t="str">
        <f>IFERROR(__xludf.DUMMYFUNCTION("""COMPUTED_VALUE"""),"Bimo Alif Rasqal")</f>
        <v>Bimo Alif Rasqal</v>
      </c>
      <c r="G906" s="6" t="str">
        <f>IFERROR(__xludf.DUMMYFUNCTION("""COMPUTED_VALUE"""),"7471062604020002")</f>
        <v>7471062604020002</v>
      </c>
      <c r="J906" s="7" t="str">
        <f>IFERROR(__xludf.DUMMYFUNCTION("""COMPUTED_VALUE"""),"LAKI-LAKI")</f>
        <v>LAKI-LAKI</v>
      </c>
      <c r="K906" s="6" t="str">
        <f>IFERROR(__xludf.DUMMYFUNCTION("""COMPUTED_VALUE"""),"jalan konawe kelurahan tobimeita")</f>
        <v>jalan konawe kelurahan tobimeita</v>
      </c>
      <c r="R906" s="7" t="str">
        <f>IFERROR(__xludf.DUMMYFUNCTION("""COMPUTED_VALUE"""),"K")</f>
        <v>K</v>
      </c>
    </row>
    <row r="907" ht="22.5" customHeight="1">
      <c r="A907" s="6">
        <v>906.0</v>
      </c>
      <c r="B907" s="6" t="str">
        <f>IFERROR(__xludf.DUMMYFUNCTION("""COMPUTED_VALUE"""),"Petugas Keselamatan dan Kesehatan Kerja")</f>
        <v>Petugas Keselamatan dan Kesehatan Kerja</v>
      </c>
      <c r="C907" s="8" t="s">
        <v>22</v>
      </c>
      <c r="F907" s="6" t="str">
        <f>IFERROR(__xludf.DUMMYFUNCTION("""COMPUTED_VALUE"""),"Andi Zakia Sholehah")</f>
        <v>Andi Zakia Sholehah</v>
      </c>
      <c r="G907" s="6" t="str">
        <f>IFERROR(__xludf.DUMMYFUNCTION("""COMPUTED_VALUE"""),"7308275910020001")</f>
        <v>7308275910020001</v>
      </c>
      <c r="J907" s="7" t="str">
        <f>IFERROR(__xludf.DUMMYFUNCTION("""COMPUTED_VALUE"""),"PEREMPUAN")</f>
        <v>PEREMPUAN</v>
      </c>
      <c r="K907" s="6" t="str">
        <f>IFERROR(__xludf.DUMMYFUNCTION("""COMPUTED_VALUE"""),"btn bukit Cempaka blok c no 14")</f>
        <v>btn bukit Cempaka blok c no 14</v>
      </c>
      <c r="R907" s="7" t="str">
        <f>IFERROR(__xludf.DUMMYFUNCTION("""COMPUTED_VALUE"""),"BK")</f>
        <v>BK</v>
      </c>
    </row>
    <row r="908" ht="22.5" customHeight="1">
      <c r="A908" s="6">
        <v>907.0</v>
      </c>
      <c r="B908" s="6" t="str">
        <f>IFERROR(__xludf.DUMMYFUNCTION("""COMPUTED_VALUE"""),"Petugas Keselamatan dan Kesehatan Kerja")</f>
        <v>Petugas Keselamatan dan Kesehatan Kerja</v>
      </c>
      <c r="C908" s="8" t="s">
        <v>22</v>
      </c>
      <c r="F908" s="6" t="str">
        <f>IFERROR(__xludf.DUMMYFUNCTION("""COMPUTED_VALUE"""),"Sri Muliyani Jubir")</f>
        <v>Sri Muliyani Jubir</v>
      </c>
      <c r="G908" s="6" t="str">
        <f>IFERROR(__xludf.DUMMYFUNCTION("""COMPUTED_VALUE"""),"7471045003030003")</f>
        <v>7471045003030003</v>
      </c>
      <c r="J908" s="7" t="str">
        <f>IFERROR(__xludf.DUMMYFUNCTION("""COMPUTED_VALUE"""),"PEREMPUAN")</f>
        <v>PEREMPUAN</v>
      </c>
      <c r="K908" s="6" t="str">
        <f>IFERROR(__xludf.DUMMYFUNCTION("""COMPUTED_VALUE"""),"Jl. Srikaya Anduonohu")</f>
        <v>Jl. Srikaya Anduonohu</v>
      </c>
      <c r="R908" s="7" t="str">
        <f>IFERROR(__xludf.DUMMYFUNCTION("""COMPUTED_VALUE"""),"K")</f>
        <v>K</v>
      </c>
    </row>
    <row r="909" ht="22.5" customHeight="1">
      <c r="A909" s="6">
        <v>908.0</v>
      </c>
      <c r="B909" s="6" t="str">
        <f>IFERROR(__xludf.DUMMYFUNCTION("""COMPUTED_VALUE"""),"Petugas Keselamatan dan Kesehatan Kerja")</f>
        <v>Petugas Keselamatan dan Kesehatan Kerja</v>
      </c>
      <c r="C909" s="8" t="s">
        <v>22</v>
      </c>
      <c r="F909" s="6" t="str">
        <f>IFERROR(__xludf.DUMMYFUNCTION("""COMPUTED_VALUE"""),"Belgis Livania")</f>
        <v>Belgis Livania</v>
      </c>
      <c r="G909" s="6" t="str">
        <f>IFERROR(__xludf.DUMMYFUNCTION("""COMPUTED_VALUE"""),"7405194806030001")</f>
        <v>7405194806030001</v>
      </c>
      <c r="J909" s="7" t="str">
        <f>IFERROR(__xludf.DUMMYFUNCTION("""COMPUTED_VALUE"""),"PEREMPUAN")</f>
        <v>PEREMPUAN</v>
      </c>
      <c r="K909" s="6" t="str">
        <f>IFERROR(__xludf.DUMMYFUNCTION("""COMPUTED_VALUE"""),"perumahan kota praja, padaleu, Kambu, kota Kendari, Sulawesi tenggara, indonesia")</f>
        <v>perumahan kota praja, padaleu, Kambu, kota Kendari, Sulawesi tenggara, indonesia</v>
      </c>
      <c r="R909" s="7" t="str">
        <f>IFERROR(__xludf.DUMMYFUNCTION("""COMPUTED_VALUE"""),"K")</f>
        <v>K</v>
      </c>
    </row>
    <row r="910" ht="22.5" customHeight="1">
      <c r="A910" s="6">
        <v>909.0</v>
      </c>
      <c r="B910" s="6" t="str">
        <f>IFERROR(__xludf.DUMMYFUNCTION("""COMPUTED_VALUE"""),"Petugas Keselamatan dan Kesehatan Kerja")</f>
        <v>Petugas Keselamatan dan Kesehatan Kerja</v>
      </c>
      <c r="C910" s="8" t="s">
        <v>22</v>
      </c>
      <c r="F910" s="6" t="str">
        <f>IFERROR(__xludf.DUMMYFUNCTION("""COMPUTED_VALUE"""),"Reynald Lucky Ananta")</f>
        <v>Reynald Lucky Ananta</v>
      </c>
      <c r="G910" s="6" t="str">
        <f>IFERROR(__xludf.DUMMYFUNCTION("""COMPUTED_VALUE"""),"7402050609020002")</f>
        <v>7402050609020002</v>
      </c>
      <c r="J910" s="7" t="str">
        <f>IFERROR(__xludf.DUMMYFUNCTION("""COMPUTED_VALUE"""),"LAKI-LAKI")</f>
        <v>LAKI-LAKI</v>
      </c>
      <c r="K910" s="6" t="str">
        <f>IFERROR(__xludf.DUMMYFUNCTION("""COMPUTED_VALUE"""),"LAKOMEA")</f>
        <v>LAKOMEA</v>
      </c>
      <c r="R910" s="7" t="str">
        <f>IFERROR(__xludf.DUMMYFUNCTION("""COMPUTED_VALUE"""),"BK")</f>
        <v>BK</v>
      </c>
    </row>
    <row r="911" ht="22.5" customHeight="1">
      <c r="A911" s="6">
        <v>910.0</v>
      </c>
      <c r="B911" s="6" t="str">
        <f>IFERROR(__xludf.DUMMYFUNCTION("""COMPUTED_VALUE"""),"Petugas Keselamatan dan Kesehatan Kerja")</f>
        <v>Petugas Keselamatan dan Kesehatan Kerja</v>
      </c>
      <c r="C911" s="8" t="s">
        <v>22</v>
      </c>
      <c r="F911" s="6" t="str">
        <f>IFERROR(__xludf.DUMMYFUNCTION("""COMPUTED_VALUE"""),"Nuralisya")</f>
        <v>Nuralisya</v>
      </c>
      <c r="G911" s="6" t="str">
        <f>IFERROR(__xludf.DUMMYFUNCTION("""COMPUTED_VALUE"""),"7406074810040001")</f>
        <v>7406074810040001</v>
      </c>
      <c r="J911" s="7" t="str">
        <f>IFERROR(__xludf.DUMMYFUNCTION("""COMPUTED_VALUE"""),"PEREMPUAN")</f>
        <v>PEREMPUAN</v>
      </c>
      <c r="K911" s="6" t="str">
        <f>IFERROR(__xludf.DUMMYFUNCTION("""COMPUTED_VALUE"""),"Balasari, Poleang barat, Kab. Bombana, Sulawesi Tenggara, Indonesia")</f>
        <v>Balasari, Poleang barat, Kab. Bombana, Sulawesi Tenggara, Indonesia</v>
      </c>
      <c r="R911" s="7" t="str">
        <f>IFERROR(__xludf.DUMMYFUNCTION("""COMPUTED_VALUE"""),"K")</f>
        <v>K</v>
      </c>
    </row>
    <row r="912" ht="22.5" customHeight="1">
      <c r="A912" s="6">
        <v>911.0</v>
      </c>
      <c r="B912" s="6" t="str">
        <f>IFERROR(__xludf.DUMMYFUNCTION("""COMPUTED_VALUE"""),"Petugas Keselamatan dan Kesehatan Kerja")</f>
        <v>Petugas Keselamatan dan Kesehatan Kerja</v>
      </c>
      <c r="C912" s="8" t="s">
        <v>22</v>
      </c>
      <c r="F912" s="6" t="str">
        <f>IFERROR(__xludf.DUMMYFUNCTION("""COMPUTED_VALUE"""),"Dwi Nova Yanti De Gani")</f>
        <v>Dwi Nova Yanti De Gani</v>
      </c>
      <c r="G912" s="6" t="str">
        <f>IFERROR(__xludf.DUMMYFUNCTION("""COMPUTED_VALUE"""),"7403166811030001")</f>
        <v>7403166811030001</v>
      </c>
      <c r="J912" s="7" t="str">
        <f>IFERROR(__xludf.DUMMYFUNCTION("""COMPUTED_VALUE"""),"PEREMPUAN")</f>
        <v>PEREMPUAN</v>
      </c>
      <c r="K912" s="6" t="str">
        <f>IFERROR(__xludf.DUMMYFUNCTION("""COMPUTED_VALUE"""),"BTN BUMI ANAWAI LAND")</f>
        <v>BTN BUMI ANAWAI LAND</v>
      </c>
      <c r="R912" s="7" t="str">
        <f>IFERROR(__xludf.DUMMYFUNCTION("""COMPUTED_VALUE"""),"BK")</f>
        <v>BK</v>
      </c>
    </row>
    <row r="913" ht="22.5" customHeight="1">
      <c r="A913" s="6">
        <v>912.0</v>
      </c>
      <c r="B913" s="6" t="str">
        <f>IFERROR(__xludf.DUMMYFUNCTION("""COMPUTED_VALUE"""),"Petugas Keselamatan dan Kesehatan Kerja")</f>
        <v>Petugas Keselamatan dan Kesehatan Kerja</v>
      </c>
      <c r="C913" s="8" t="s">
        <v>22</v>
      </c>
      <c r="F913" s="6" t="str">
        <f>IFERROR(__xludf.DUMMYFUNCTION("""COMPUTED_VALUE"""),"Alam Purnomo")</f>
        <v>Alam Purnomo</v>
      </c>
      <c r="G913" s="6" t="str">
        <f>IFERROR(__xludf.DUMMYFUNCTION("""COMPUTED_VALUE"""),"7403170707020201")</f>
        <v>7403170707020201</v>
      </c>
      <c r="J913" s="7" t="str">
        <f>IFERROR(__xludf.DUMMYFUNCTION("""COMPUTED_VALUE"""),"LAKI-LAKI")</f>
        <v>LAKI-LAKI</v>
      </c>
      <c r="K913" s="6" t="str">
        <f>IFERROR(__xludf.DUMMYFUNCTION("""COMPUTED_VALUE"""),"KOTA KENDARI PERUMAHAN BTN BOULEVAR BLOK A NO 39")</f>
        <v>KOTA KENDARI PERUMAHAN BTN BOULEVAR BLOK A NO 39</v>
      </c>
      <c r="R913" s="7" t="str">
        <f>IFERROR(__xludf.DUMMYFUNCTION("""COMPUTED_VALUE"""),"K")</f>
        <v>K</v>
      </c>
    </row>
    <row r="914" ht="22.5" customHeight="1">
      <c r="A914" s="6">
        <v>913.0</v>
      </c>
      <c r="B914" s="6" t="str">
        <f>IFERROR(__xludf.DUMMYFUNCTION("""COMPUTED_VALUE"""),"Petugas Keselamatan dan Kesehatan Kerja")</f>
        <v>Petugas Keselamatan dan Kesehatan Kerja</v>
      </c>
      <c r="C914" s="8" t="s">
        <v>22</v>
      </c>
      <c r="F914" s="6" t="str">
        <f>IFERROR(__xludf.DUMMYFUNCTION("""COMPUTED_VALUE"""),"Muh Fahrian")</f>
        <v>Muh Fahrian</v>
      </c>
      <c r="G914" s="6" t="str">
        <f>IFERROR(__xludf.DUMMYFUNCTION("""COMPUTED_VALUE"""),"7409070305030004")</f>
        <v>7409070305030004</v>
      </c>
      <c r="J914" s="7" t="str">
        <f>IFERROR(__xludf.DUMMYFUNCTION("""COMPUTED_VALUE"""),"LAKI-LAKI")</f>
        <v>LAKI-LAKI</v>
      </c>
      <c r="K914" s="6" t="str">
        <f>IFERROR(__xludf.DUMMYFUNCTION("""COMPUTED_VALUE"""),"Jalan Tunggala, Anawai, Kec. Wua-Wua, Kota Kendari, Sulawesi Tenggara")</f>
        <v>Jalan Tunggala, Anawai, Kec. Wua-Wua, Kota Kendari, Sulawesi Tenggara</v>
      </c>
      <c r="R914" s="7" t="str">
        <f>IFERROR(__xludf.DUMMYFUNCTION("""COMPUTED_VALUE"""),"BK")</f>
        <v>BK</v>
      </c>
    </row>
    <row r="915" ht="22.5" customHeight="1">
      <c r="A915" s="6">
        <v>914.0</v>
      </c>
      <c r="B915" s="6" t="str">
        <f>IFERROR(__xludf.DUMMYFUNCTION("""COMPUTED_VALUE"""),"Petugas Keselamatan dan Kesehatan Kerja")</f>
        <v>Petugas Keselamatan dan Kesehatan Kerja</v>
      </c>
      <c r="C915" s="8" t="s">
        <v>22</v>
      </c>
      <c r="F915" s="6" t="str">
        <f>IFERROR(__xludf.DUMMYFUNCTION("""COMPUTED_VALUE"""),"Muh. Septian Putra Arisandi")</f>
        <v>Muh. Septian Putra Arisandi</v>
      </c>
      <c r="G915" s="6" t="str">
        <f>IFERROR(__xludf.DUMMYFUNCTION("""COMPUTED_VALUE"""),"7401140509030002")</f>
        <v>7401140509030002</v>
      </c>
      <c r="J915" s="7" t="str">
        <f>IFERROR(__xludf.DUMMYFUNCTION("""COMPUTED_VALUE"""),"LAKI-LAKI")</f>
        <v>LAKI-LAKI</v>
      </c>
      <c r="K915" s="6" t="str">
        <f>IFERROR(__xludf.DUMMYFUNCTION("""COMPUTED_VALUE"""),"LINGK. IV WOWOTA, RT/RW : 001/00 ,kel.MANGOLO Kec.LATAMBAGA")</f>
        <v>LINGK. IV WOWOTA, RT/RW : 001/00 ,kel.MANGOLO Kec.LATAMBAGA</v>
      </c>
      <c r="R915" s="7" t="str">
        <f>IFERROR(__xludf.DUMMYFUNCTION("""COMPUTED_VALUE"""),"K")</f>
        <v>K</v>
      </c>
    </row>
    <row r="916" ht="22.5" customHeight="1">
      <c r="A916" s="6">
        <v>915.0</v>
      </c>
      <c r="B916" s="6" t="str">
        <f>IFERROR(__xludf.DUMMYFUNCTION("""COMPUTED_VALUE"""),"Petugas Keselamatan dan Kesehatan Kerja")</f>
        <v>Petugas Keselamatan dan Kesehatan Kerja</v>
      </c>
      <c r="C916" s="8" t="s">
        <v>22</v>
      </c>
      <c r="F916" s="6" t="str">
        <f>IFERROR(__xludf.DUMMYFUNCTION("""COMPUTED_VALUE"""),"Ikhlas Ibnu Isnaini")</f>
        <v>Ikhlas Ibnu Isnaini</v>
      </c>
      <c r="G916" s="6" t="str">
        <f>IFERROR(__xludf.DUMMYFUNCTION("""COMPUTED_VALUE"""),"7403190807030201")</f>
        <v>7403190807030201</v>
      </c>
      <c r="J916" s="7" t="str">
        <f>IFERROR(__xludf.DUMMYFUNCTION("""COMPUTED_VALUE"""),"LAKI-LAKI")</f>
        <v>LAKI-LAKI</v>
      </c>
      <c r="K916" s="6" t="str">
        <f>IFERROR(__xludf.DUMMYFUNCTION("""COMPUTED_VALUE"""),"Desa Lamanu, Kecamatan Kabawo, Kabupaten Muna")</f>
        <v>Desa Lamanu, Kecamatan Kabawo, Kabupaten Muna</v>
      </c>
      <c r="R916" s="7" t="str">
        <f>IFERROR(__xludf.DUMMYFUNCTION("""COMPUTED_VALUE"""),"K")</f>
        <v>K</v>
      </c>
    </row>
    <row r="917" ht="22.5" customHeight="1">
      <c r="A917" s="6">
        <v>916.0</v>
      </c>
      <c r="B917" s="6" t="str">
        <f>IFERROR(__xludf.DUMMYFUNCTION("""COMPUTED_VALUE"""),"Petugas Keselamatan dan Kesehatan Kerja")</f>
        <v>Petugas Keselamatan dan Kesehatan Kerja</v>
      </c>
      <c r="C917" s="8" t="s">
        <v>22</v>
      </c>
      <c r="F917" s="6" t="str">
        <f>IFERROR(__xludf.DUMMYFUNCTION("""COMPUTED_VALUE"""),"Wilda Afrianti")</f>
        <v>Wilda Afrianti</v>
      </c>
      <c r="G917" s="6" t="str">
        <f>IFERROR(__xludf.DUMMYFUNCTION("""COMPUTED_VALUE"""),"7402035705040001")</f>
        <v>7402035705040001</v>
      </c>
      <c r="J917" s="7" t="str">
        <f>IFERROR(__xludf.DUMMYFUNCTION("""COMPUTED_VALUE"""),"PEREMPUAN")</f>
        <v>PEREMPUAN</v>
      </c>
      <c r="K917" s="6" t="str">
        <f>IFERROR(__xludf.DUMMYFUNCTION("""COMPUTED_VALUE"""),"Kel.nohu-nohu RT. 2 Nohu - Nohu , Wawotobi , Konawe Sulawesi Tenggara")</f>
        <v>Kel.nohu-nohu RT. 2 Nohu - Nohu , Wawotobi , Konawe Sulawesi Tenggara</v>
      </c>
      <c r="R917" s="7" t="str">
        <f>IFERROR(__xludf.DUMMYFUNCTION("""COMPUTED_VALUE"""),"BK")</f>
        <v>BK</v>
      </c>
    </row>
    <row r="918" ht="22.5" customHeight="1">
      <c r="A918" s="6">
        <v>917.0</v>
      </c>
      <c r="B918" s="6" t="str">
        <f>IFERROR(__xludf.DUMMYFUNCTION("""COMPUTED_VALUE"""),"Petugas Keselamatan dan Kesehatan Kerja")</f>
        <v>Petugas Keselamatan dan Kesehatan Kerja</v>
      </c>
      <c r="C918" s="8" t="s">
        <v>22</v>
      </c>
      <c r="F918" s="6" t="str">
        <f>IFERROR(__xludf.DUMMYFUNCTION("""COMPUTED_VALUE"""),"Muh. Fadjryansyah Silondae")</f>
        <v>Muh. Fadjryansyah Silondae</v>
      </c>
      <c r="G918" s="6" t="str">
        <f>IFERROR(__xludf.DUMMYFUNCTION("""COMPUTED_VALUE"""),"7405032006030002")</f>
        <v>7405032006030002</v>
      </c>
      <c r="J918" s="7" t="str">
        <f>IFERROR(__xludf.DUMMYFUNCTION("""COMPUTED_VALUE"""),"LAKI-LAKI")</f>
        <v>LAKI-LAKI</v>
      </c>
      <c r="K918" s="6" t="str">
        <f>IFERROR(__xludf.DUMMYFUNCTION("""COMPUTED_VALUE"""),"BTN Graha Raya Blok A/6, JL. DI. Pandjaitan, Wundudopi, Kota Kendari, Sulawesi Tenggara, Indonesia")</f>
        <v>BTN Graha Raya Blok A/6, JL. DI. Pandjaitan, Wundudopi, Kota Kendari, Sulawesi Tenggara, Indonesia</v>
      </c>
      <c r="R918" s="7" t="str">
        <f>IFERROR(__xludf.DUMMYFUNCTION("""COMPUTED_VALUE"""),"K")</f>
        <v>K</v>
      </c>
    </row>
    <row r="919" ht="22.5" customHeight="1">
      <c r="A919" s="6">
        <v>918.0</v>
      </c>
      <c r="B919" s="6" t="str">
        <f>IFERROR(__xludf.DUMMYFUNCTION("""COMPUTED_VALUE"""),"Petugas Keselamatan dan Kesehatan Kerja")</f>
        <v>Petugas Keselamatan dan Kesehatan Kerja</v>
      </c>
      <c r="C919" s="8" t="s">
        <v>22</v>
      </c>
      <c r="F919" s="6" t="str">
        <f>IFERROR(__xludf.DUMMYFUNCTION("""COMPUTED_VALUE"""),"Reinerd Adventhree Karimo")</f>
        <v>Reinerd Adventhree Karimo</v>
      </c>
      <c r="G919" s="6" t="str">
        <f>IFERROR(__xludf.DUMMYFUNCTION("""COMPUTED_VALUE"""),"7326111612970001")</f>
        <v>7326111612970001</v>
      </c>
      <c r="J919" s="7" t="str">
        <f>IFERROR(__xludf.DUMMYFUNCTION("""COMPUTED_VALUE"""),"LAKI-LAKI")</f>
        <v>LAKI-LAKI</v>
      </c>
      <c r="K919" s="6" t="str">
        <f>IFERROR(__xludf.DUMMYFUNCTION("""COMPUTED_VALUE"""),"Tampo Tallunglipu, Kecamatan Tallunglipu, Kabupaten Toraja Utara, Provinsi Sulawesi Selatan")</f>
        <v>Tampo Tallunglipu, Kecamatan Tallunglipu, Kabupaten Toraja Utara, Provinsi Sulawesi Selatan</v>
      </c>
      <c r="R919" s="7" t="str">
        <f>IFERROR(__xludf.DUMMYFUNCTION("""COMPUTED_VALUE"""),"K")</f>
        <v>K</v>
      </c>
    </row>
    <row r="920" ht="22.5" customHeight="1">
      <c r="A920" s="6">
        <v>919.0</v>
      </c>
      <c r="B920" s="6" t="str">
        <f>IFERROR(__xludf.DUMMYFUNCTION("""COMPUTED_VALUE"""),"Petugas Keselamatan dan Kesehatan Kerja")</f>
        <v>Petugas Keselamatan dan Kesehatan Kerja</v>
      </c>
      <c r="C920" s="8" t="s">
        <v>22</v>
      </c>
      <c r="F920" s="6" t="str">
        <f>IFERROR(__xludf.DUMMYFUNCTION("""COMPUTED_VALUE"""),"Venesa")</f>
        <v>Venesa</v>
      </c>
      <c r="G920" s="6" t="str">
        <f>IFERROR(__xludf.DUMMYFUNCTION("""COMPUTED_VALUE"""),"7472075107030001")</f>
        <v>7472075107030001</v>
      </c>
      <c r="J920" s="7" t="str">
        <f>IFERROR(__xludf.DUMMYFUNCTION("""COMPUTED_VALUE"""),"PEREMPUAN")</f>
        <v>PEREMPUAN</v>
      </c>
      <c r="K920" s="6" t="str">
        <f>IFERROR(__xludf.DUMMYFUNCTION("""COMPUTED_VALUE"""),"Lingkungan Baru, RT/001 RW/002, Kelurahan Palabusa, Kecamatan Lea-Lea, Kota Baubau")</f>
        <v>Lingkungan Baru, RT/001 RW/002, Kelurahan Palabusa, Kecamatan Lea-Lea, Kota Baubau</v>
      </c>
      <c r="R920" s="7" t="str">
        <f>IFERROR(__xludf.DUMMYFUNCTION("""COMPUTED_VALUE"""),"K")</f>
        <v>K</v>
      </c>
    </row>
    <row r="921" ht="22.5" customHeight="1">
      <c r="A921" s="6">
        <v>920.0</v>
      </c>
      <c r="B921" s="6" t="str">
        <f>IFERROR(__xludf.DUMMYFUNCTION("""COMPUTED_VALUE"""),"Pengelolaan Administrasi Perkantoraan")</f>
        <v>Pengelolaan Administrasi Perkantoraan</v>
      </c>
      <c r="C921" s="8" t="s">
        <v>22</v>
      </c>
      <c r="F921" s="6" t="str">
        <f>IFERROR(__xludf.DUMMYFUNCTION("""COMPUTED_VALUE"""),"LHELY SARTIKA QUR’AN")</f>
        <v>LHELY SARTIKA QUR’AN</v>
      </c>
      <c r="G921" s="6" t="str">
        <f>IFERROR(__xludf.DUMMYFUNCTION("""COMPUTED_VALUE"""),"7310114208030002")</f>
        <v>7310114208030002</v>
      </c>
      <c r="J921" s="7" t="str">
        <f>IFERROR(__xludf.DUMMYFUNCTION("""COMPUTED_VALUE"""),"PEREMPUAN")</f>
        <v>PEREMPUAN</v>
      </c>
      <c r="K921" s="6" t="str">
        <f>IFERROR(__xludf.DUMMYFUNCTION("""COMPUTED_VALUE"""),"Mandalle")</f>
        <v>Mandalle</v>
      </c>
      <c r="R921" s="7" t="str">
        <f>IFERROR(__xludf.DUMMYFUNCTION("""COMPUTED_VALUE"""),"K")</f>
        <v>K</v>
      </c>
    </row>
    <row r="922" ht="22.5" customHeight="1">
      <c r="A922" s="6">
        <v>921.0</v>
      </c>
      <c r="B922" s="6" t="str">
        <f>IFERROR(__xludf.DUMMYFUNCTION("""COMPUTED_VALUE"""),"Pengelolaan Administrasi Perkantoraan")</f>
        <v>Pengelolaan Administrasi Perkantoraan</v>
      </c>
      <c r="C922" s="8" t="s">
        <v>22</v>
      </c>
      <c r="F922" s="6" t="str">
        <f>IFERROR(__xludf.DUMMYFUNCTION("""COMPUTED_VALUE"""),"EUNIKE PATA DATU")</f>
        <v>EUNIKE PATA DATU</v>
      </c>
      <c r="G922" s="6" t="str">
        <f>IFERROR(__xludf.DUMMYFUNCTION("""COMPUTED_VALUE"""),"7401075210030001")</f>
        <v>7401075210030001</v>
      </c>
      <c r="J922" s="7" t="str">
        <f>IFERROR(__xludf.DUMMYFUNCTION("""COMPUTED_VALUE"""),"PEREMPUAN")</f>
        <v>PEREMPUAN</v>
      </c>
      <c r="K922" s="6" t="str">
        <f>IFERROR(__xludf.DUMMYFUNCTION("""COMPUTED_VALUE"""),"Btn Grand Boulevard Regency Blok B/39, kelurahan Mokoau, Kecamatan kambu, Kota Kendari, Sulawesi Tenggara. ")</f>
        <v>Btn Grand Boulevard Regency Blok B/39, kelurahan Mokoau, Kecamatan kambu, Kota Kendari, Sulawesi Tenggara. </v>
      </c>
      <c r="R922" s="7" t="str">
        <f>IFERROR(__xludf.DUMMYFUNCTION("""COMPUTED_VALUE"""),"K")</f>
        <v>K</v>
      </c>
    </row>
    <row r="923" ht="22.5" customHeight="1">
      <c r="A923" s="6">
        <v>922.0</v>
      </c>
      <c r="B923" s="6" t="str">
        <f>IFERROR(__xludf.DUMMYFUNCTION("""COMPUTED_VALUE"""),"Pengelolaan Administrasi Perkantoraan")</f>
        <v>Pengelolaan Administrasi Perkantoraan</v>
      </c>
      <c r="C923" s="8" t="s">
        <v>22</v>
      </c>
      <c r="F923" s="6" t="str">
        <f>IFERROR(__xludf.DUMMYFUNCTION("""COMPUTED_VALUE"""),"EKA NURFADILA")</f>
        <v>EKA NURFADILA</v>
      </c>
      <c r="G923" s="6" t="str">
        <f>IFERROR(__xludf.DUMMYFUNCTION("""COMPUTED_VALUE"""),"7472056306030001")</f>
        <v>7472056306030001</v>
      </c>
      <c r="J923" s="7" t="str">
        <f>IFERROR(__xludf.DUMMYFUNCTION("""COMPUTED_VALUE"""),"PEREMPUAN")</f>
        <v>PEREMPUAN</v>
      </c>
      <c r="K923" s="6" t="str">
        <f>IFERROR(__xludf.DUMMYFUNCTION("""COMPUTED_VALUE"""),"JL. BUKIT PERMAI, RT/RW.003/001, KEL. KADOLO, KEC. KOKALUKUNA, KOTA BAUBAU SULAWESI TENGGARA")</f>
        <v>JL. BUKIT PERMAI, RT/RW.003/001, KEL. KADOLO, KEC. KOKALUKUNA, KOTA BAUBAU SULAWESI TENGGARA</v>
      </c>
      <c r="R923" s="7" t="str">
        <f>IFERROR(__xludf.DUMMYFUNCTION("""COMPUTED_VALUE"""),"K")</f>
        <v>K</v>
      </c>
    </row>
    <row r="924" ht="22.5" customHeight="1">
      <c r="A924" s="6">
        <v>923.0</v>
      </c>
      <c r="B924" s="6" t="str">
        <f>IFERROR(__xludf.DUMMYFUNCTION("""COMPUTED_VALUE"""),"Pengelolaan Administrasi Perkantoraan")</f>
        <v>Pengelolaan Administrasi Perkantoraan</v>
      </c>
      <c r="C924" s="8" t="s">
        <v>22</v>
      </c>
      <c r="F924" s="6" t="str">
        <f>IFERROR(__xludf.DUMMYFUNCTION("""COMPUTED_VALUE"""),"Regina Tiara Velaski")</f>
        <v>Regina Tiara Velaski</v>
      </c>
      <c r="G924" s="6" t="str">
        <f>IFERROR(__xludf.DUMMYFUNCTION("""COMPUTED_VALUE"""),"7471084803040003")</f>
        <v>7471084803040003</v>
      </c>
      <c r="J924" s="7" t="str">
        <f>IFERROR(__xludf.DUMMYFUNCTION("""COMPUTED_VALUE"""),"PEREMPUAN")</f>
        <v>PEREMPUAN</v>
      </c>
      <c r="K924" s="6" t="str">
        <f>IFERROR(__xludf.DUMMYFUNCTION("""COMPUTED_VALUE"""),"Jl. sao-sao no.11 perumnas")</f>
        <v>Jl. sao-sao no.11 perumnas</v>
      </c>
      <c r="R924" s="7" t="str">
        <f>IFERROR(__xludf.DUMMYFUNCTION("""COMPUTED_VALUE"""),"K")</f>
        <v>K</v>
      </c>
    </row>
    <row r="925" ht="22.5" customHeight="1">
      <c r="A925" s="6">
        <v>924.0</v>
      </c>
      <c r="B925" s="6" t="str">
        <f>IFERROR(__xludf.DUMMYFUNCTION("""COMPUTED_VALUE"""),"Pengelolaan Administrasi Perkantoraan")</f>
        <v>Pengelolaan Administrasi Perkantoraan</v>
      </c>
      <c r="C925" s="8" t="s">
        <v>22</v>
      </c>
      <c r="F925" s="6" t="str">
        <f>IFERROR(__xludf.DUMMYFUNCTION("""COMPUTED_VALUE"""),"AFDAL NUR")</f>
        <v>AFDAL NUR</v>
      </c>
      <c r="G925" s="6" t="str">
        <f>IFERROR(__xludf.DUMMYFUNCTION("""COMPUTED_VALUE"""),"7406022510000002")</f>
        <v>7406022510000002</v>
      </c>
      <c r="J925" s="7" t="str">
        <f>IFERROR(__xludf.DUMMYFUNCTION("""COMPUTED_VALUE"""),"LAKI-LAKI")</f>
        <v>LAKI-LAKI</v>
      </c>
      <c r="K925" s="6" t="str">
        <f>IFERROR(__xludf.DUMMYFUNCTION("""COMPUTED_VALUE"""),"Kel.Puulemo, Kec.Poleang Timur, Kab.Bombana.")</f>
        <v>Kel.Puulemo, Kec.Poleang Timur, Kab.Bombana.</v>
      </c>
      <c r="R925" s="7" t="str">
        <f>IFERROR(__xludf.DUMMYFUNCTION("""COMPUTED_VALUE"""),"K")</f>
        <v>K</v>
      </c>
    </row>
    <row r="926" ht="22.5" customHeight="1">
      <c r="A926" s="6">
        <v>925.0</v>
      </c>
      <c r="B926" s="6" t="str">
        <f>IFERROR(__xludf.DUMMYFUNCTION("""COMPUTED_VALUE"""),"Pengelolaan Administrasi Perkantoraan")</f>
        <v>Pengelolaan Administrasi Perkantoraan</v>
      </c>
      <c r="C926" s="8" t="s">
        <v>22</v>
      </c>
      <c r="F926" s="6" t="str">
        <f>IFERROR(__xludf.DUMMYFUNCTION("""COMPUTED_VALUE"""),"WULAN SAFITRI AGUSPIN ")</f>
        <v>WULAN SAFITRI AGUSPIN </v>
      </c>
      <c r="G926" s="6" t="str">
        <f>IFERROR(__xludf.DUMMYFUNCTION("""COMPUTED_VALUE"""),"7471035412020001")</f>
        <v>7471035412020001</v>
      </c>
      <c r="J926" s="7" t="str">
        <f>IFERROR(__xludf.DUMMYFUNCTION("""COMPUTED_VALUE"""),"PEREMPUAN")</f>
        <v>PEREMPUAN</v>
      </c>
      <c r="K926" s="6" t="str">
        <f>IFERROR(__xludf.DUMMYFUNCTION("""COMPUTED_VALUE"""),"JL. LAPAS BARUGA ")</f>
        <v>JL. LAPAS BARUGA </v>
      </c>
      <c r="R926" s="7" t="str">
        <f>IFERROR(__xludf.DUMMYFUNCTION("""COMPUTED_VALUE"""),"K")</f>
        <v>K</v>
      </c>
    </row>
    <row r="927" ht="22.5" customHeight="1">
      <c r="A927" s="6">
        <v>926.0</v>
      </c>
      <c r="B927" s="6" t="str">
        <f>IFERROR(__xludf.DUMMYFUNCTION("""COMPUTED_VALUE"""),"Pengelolaan Administrasi Perkantoraan")</f>
        <v>Pengelolaan Administrasi Perkantoraan</v>
      </c>
      <c r="C927" s="8" t="s">
        <v>22</v>
      </c>
      <c r="F927" s="6" t="str">
        <f>IFERROR(__xludf.DUMMYFUNCTION("""COMPUTED_VALUE"""),"Sri Wulandari ")</f>
        <v>Sri Wulandari </v>
      </c>
      <c r="G927" s="6" t="str">
        <f>IFERROR(__xludf.DUMMYFUNCTION("""COMPUTED_VALUE"""),"7410014612020001")</f>
        <v>7410014612020001</v>
      </c>
      <c r="J927" s="7" t="str">
        <f>IFERROR(__xludf.DUMMYFUNCTION("""COMPUTED_VALUE"""),"PEREMPUAN")</f>
        <v>PEREMPUAN</v>
      </c>
      <c r="K927" s="6" t="str">
        <f>IFERROR(__xludf.DUMMYFUNCTION("""COMPUTED_VALUE"""),"Mekar ")</f>
        <v>Mekar </v>
      </c>
      <c r="R927" s="7" t="str">
        <f>IFERROR(__xludf.DUMMYFUNCTION("""COMPUTED_VALUE"""),"K")</f>
        <v>K</v>
      </c>
    </row>
    <row r="928" ht="22.5" customHeight="1">
      <c r="A928" s="6">
        <v>927.0</v>
      </c>
      <c r="B928" s="6" t="str">
        <f>IFERROR(__xludf.DUMMYFUNCTION("""COMPUTED_VALUE"""),"Pengelolaan Administrasi Perkantoraan")</f>
        <v>Pengelolaan Administrasi Perkantoraan</v>
      </c>
      <c r="C928" s="8" t="s">
        <v>22</v>
      </c>
      <c r="F928" s="6" t="str">
        <f>IFERROR(__xludf.DUMMYFUNCTION("""COMPUTED_VALUE"""),"SISRI SIAGIAN")</f>
        <v>SISRI SIAGIAN</v>
      </c>
      <c r="G928" s="6" t="str">
        <f>IFERROR(__xludf.DUMMYFUNCTION("""COMPUTED_VALUE"""),"7402235809030001")</f>
        <v>7402235809030001</v>
      </c>
      <c r="J928" s="7" t="str">
        <f>IFERROR(__xludf.DUMMYFUNCTION("""COMPUTED_VALUE"""),"PEREMPUAN")</f>
        <v>PEREMPUAN</v>
      </c>
      <c r="K928" s="6" t="str">
        <f>IFERROR(__xludf.DUMMYFUNCTION("""COMPUTED_VALUE"""),"Desa Puosu Jaya, Kecamatan Konda, Kabupaten Konawe Selatan, Provinsi Sulawesi Tenggara ")</f>
        <v>Desa Puosu Jaya, Kecamatan Konda, Kabupaten Konawe Selatan, Provinsi Sulawesi Tenggara </v>
      </c>
      <c r="R928" s="7" t="str">
        <f>IFERROR(__xludf.DUMMYFUNCTION("""COMPUTED_VALUE"""),"K")</f>
        <v>K</v>
      </c>
    </row>
    <row r="929" ht="22.5" customHeight="1">
      <c r="A929" s="6">
        <v>928.0</v>
      </c>
      <c r="B929" s="6" t="str">
        <f>IFERROR(__xludf.DUMMYFUNCTION("""COMPUTED_VALUE"""),"Pengelolaan Administrasi Perkantoraan")</f>
        <v>Pengelolaan Administrasi Perkantoraan</v>
      </c>
      <c r="C929" s="8" t="s">
        <v>22</v>
      </c>
      <c r="F929" s="6" t="str">
        <f>IFERROR(__xludf.DUMMYFUNCTION("""COMPUTED_VALUE"""),"Andi Salsabila Annisa Fitri")</f>
        <v>Andi Salsabila Annisa Fitri</v>
      </c>
      <c r="G929" s="6" t="str">
        <f>IFERROR(__xludf.DUMMYFUNCTION("""COMPUTED_VALUE"""),"7402016411030001")</f>
        <v>7402016411030001</v>
      </c>
      <c r="J929" s="7" t="str">
        <f>IFERROR(__xludf.DUMMYFUNCTION("""COMPUTED_VALUE"""),"PEREMPUAN")</f>
        <v>PEREMPUAN</v>
      </c>
      <c r="K929" s="6" t="str">
        <f>IFERROR(__xludf.DUMMYFUNCTION("""COMPUTED_VALUE"""),"Lrg. Buah Eha, Anduonohu")</f>
        <v>Lrg. Buah Eha, Anduonohu</v>
      </c>
      <c r="R929" s="7" t="str">
        <f>IFERROR(__xludf.DUMMYFUNCTION("""COMPUTED_VALUE"""),"K")</f>
        <v>K</v>
      </c>
    </row>
    <row r="930" ht="22.5" customHeight="1">
      <c r="A930" s="6">
        <v>929.0</v>
      </c>
      <c r="B930" s="6" t="str">
        <f>IFERROR(__xludf.DUMMYFUNCTION("""COMPUTED_VALUE"""),"Pengelolaan Administrasi Perkantoraan")</f>
        <v>Pengelolaan Administrasi Perkantoraan</v>
      </c>
      <c r="C930" s="8" t="s">
        <v>22</v>
      </c>
      <c r="F930" s="6" t="str">
        <f>IFERROR(__xludf.DUMMYFUNCTION("""COMPUTED_VALUE"""),"Reny Meylani Sudarman")</f>
        <v>Reny Meylani Sudarman</v>
      </c>
      <c r="G930" s="6" t="str">
        <f>IFERROR(__xludf.DUMMYFUNCTION("""COMPUTED_VALUE"""),"7472064705030001")</f>
        <v>7472064705030001</v>
      </c>
      <c r="J930" s="7" t="str">
        <f>IFERROR(__xludf.DUMMYFUNCTION("""COMPUTED_VALUE"""),"PEREMPUAN")</f>
        <v>PEREMPUAN</v>
      </c>
      <c r="K930" s="6" t="str">
        <f>IFERROR(__xludf.DUMMYFUNCTION("""COMPUTED_VALUE"""),"Jl. Gaja Mada Kel. Wajo, Kec. Murhum")</f>
        <v>Jl. Gaja Mada Kel. Wajo, Kec. Murhum</v>
      </c>
      <c r="R930" s="7" t="str">
        <f>IFERROR(__xludf.DUMMYFUNCTION("""COMPUTED_VALUE"""),"K")</f>
        <v>K</v>
      </c>
    </row>
    <row r="931" ht="22.5" customHeight="1">
      <c r="A931" s="6">
        <v>930.0</v>
      </c>
      <c r="B931" s="6" t="str">
        <f>IFERROR(__xludf.DUMMYFUNCTION("""COMPUTED_VALUE"""),"Pengelolaan Administrasi Perkantoraan")</f>
        <v>Pengelolaan Administrasi Perkantoraan</v>
      </c>
      <c r="C931" s="8" t="s">
        <v>22</v>
      </c>
      <c r="F931" s="6" t="str">
        <f>IFERROR(__xludf.DUMMYFUNCTION("""COMPUTED_VALUE"""),"SUKMA NINGSI JAMUDDIN ")</f>
        <v>SUKMA NINGSI JAMUDDIN </v>
      </c>
      <c r="G931" s="6" t="str">
        <f>IFERROR(__xludf.DUMMYFUNCTION("""COMPUTED_VALUE"""),"7471065601030001")</f>
        <v>7471065601030001</v>
      </c>
      <c r="J931" s="7" t="str">
        <f>IFERROR(__xludf.DUMMYFUNCTION("""COMPUTED_VALUE"""),"PEREMPUAN")</f>
        <v>PEREMPUAN</v>
      </c>
      <c r="K931" s="6" t="str">
        <f>IFERROR(__xludf.DUMMYFUNCTION("""COMPUTED_VALUE"""),"Kelurahan Tobimeita Kecamatan Nambo ")</f>
        <v>Kelurahan Tobimeita Kecamatan Nambo </v>
      </c>
      <c r="R931" s="7" t="str">
        <f>IFERROR(__xludf.DUMMYFUNCTION("""COMPUTED_VALUE"""),"K")</f>
        <v>K</v>
      </c>
    </row>
    <row r="932" ht="22.5" customHeight="1">
      <c r="A932" s="6">
        <v>931.0</v>
      </c>
      <c r="B932" s="6" t="str">
        <f>IFERROR(__xludf.DUMMYFUNCTION("""COMPUTED_VALUE"""),"Pengelolaan Administrasi Perkantoraan")</f>
        <v>Pengelolaan Administrasi Perkantoraan</v>
      </c>
      <c r="C932" s="8" t="s">
        <v>22</v>
      </c>
      <c r="F932" s="6" t="str">
        <f>IFERROR(__xludf.DUMMYFUNCTION("""COMPUTED_VALUE"""),"Harni")</f>
        <v>Harni</v>
      </c>
      <c r="G932" s="6" t="str">
        <f>IFERROR(__xludf.DUMMYFUNCTION("""COMPUTED_VALUE"""),"7410016312010001")</f>
        <v>7410016312010001</v>
      </c>
      <c r="J932" s="7" t="str">
        <f>IFERROR(__xludf.DUMMYFUNCTION("""COMPUTED_VALUE"""),"PEREMPUAN")</f>
        <v>PEREMPUAN</v>
      </c>
      <c r="K932" s="6" t="str">
        <f>IFERROR(__xludf.DUMMYFUNCTION("""COMPUTED_VALUE"""),"Eelahaji")</f>
        <v>Eelahaji</v>
      </c>
      <c r="R932" s="7" t="str">
        <f>IFERROR(__xludf.DUMMYFUNCTION("""COMPUTED_VALUE"""),"K")</f>
        <v>K</v>
      </c>
    </row>
    <row r="933" ht="22.5" customHeight="1">
      <c r="A933" s="6">
        <v>932.0</v>
      </c>
      <c r="B933" s="6" t="str">
        <f>IFERROR(__xludf.DUMMYFUNCTION("""COMPUTED_VALUE"""),"Pengelolaan Administrasi Perkantoraan")</f>
        <v>Pengelolaan Administrasi Perkantoraan</v>
      </c>
      <c r="C933" s="8" t="s">
        <v>22</v>
      </c>
      <c r="F933" s="6" t="str">
        <f>IFERROR(__xludf.DUMMYFUNCTION("""COMPUTED_VALUE"""),"Musfira Putri Damayanti")</f>
        <v>Musfira Putri Damayanti</v>
      </c>
      <c r="G933" s="6" t="str">
        <f>IFERROR(__xludf.DUMMYFUNCTION("""COMPUTED_VALUE"""),"7471054508030003")</f>
        <v>7471054508030003</v>
      </c>
      <c r="J933" s="7" t="str">
        <f>IFERROR(__xludf.DUMMYFUNCTION("""COMPUTED_VALUE"""),"PEREMPUAN")</f>
        <v>PEREMPUAN</v>
      </c>
      <c r="K933" s="6" t="str">
        <f>IFERROR(__xludf.DUMMYFUNCTION("""COMPUTED_VALUE"""),"jln.lasolo")</f>
        <v>jln.lasolo</v>
      </c>
      <c r="R933" s="7" t="str">
        <f>IFERROR(__xludf.DUMMYFUNCTION("""COMPUTED_VALUE"""),"K")</f>
        <v>K</v>
      </c>
    </row>
    <row r="934" ht="22.5" customHeight="1">
      <c r="A934" s="6">
        <v>933.0</v>
      </c>
      <c r="B934" s="6" t="str">
        <f>IFERROR(__xludf.DUMMYFUNCTION("""COMPUTED_VALUE"""),"Pengelolaan Administrasi Perkantoraan")</f>
        <v>Pengelolaan Administrasi Perkantoraan</v>
      </c>
      <c r="C934" s="8" t="s">
        <v>22</v>
      </c>
      <c r="F934" s="6" t="str">
        <f>IFERROR(__xludf.DUMMYFUNCTION("""COMPUTED_VALUE"""),"Hikmah Juhuria")</f>
        <v>Hikmah Juhuria</v>
      </c>
      <c r="G934" s="6" t="str">
        <f>IFERROR(__xludf.DUMMYFUNCTION("""COMPUTED_VALUE"""),"7404111411030001")</f>
        <v>7404111411030001</v>
      </c>
      <c r="J934" s="7" t="str">
        <f>IFERROR(__xludf.DUMMYFUNCTION("""COMPUTED_VALUE"""),"PEREMPUAN")</f>
        <v>PEREMPUAN</v>
      </c>
      <c r="K934" s="6" t="str">
        <f>IFERROR(__xludf.DUMMYFUNCTION("""COMPUTED_VALUE"""),"Desa Laburunci")</f>
        <v>Desa Laburunci</v>
      </c>
      <c r="R934" s="7" t="str">
        <f>IFERROR(__xludf.DUMMYFUNCTION("""COMPUTED_VALUE"""),"K")</f>
        <v>K</v>
      </c>
    </row>
    <row r="935" ht="22.5" customHeight="1">
      <c r="A935" s="6">
        <v>934.0</v>
      </c>
      <c r="B935" s="6" t="str">
        <f>IFERROR(__xludf.DUMMYFUNCTION("""COMPUTED_VALUE"""),"Pengelolaan Administrasi Perkantoraan")</f>
        <v>Pengelolaan Administrasi Perkantoraan</v>
      </c>
      <c r="C935" s="8" t="s">
        <v>22</v>
      </c>
      <c r="F935" s="6" t="str">
        <f>IFERROR(__xludf.DUMMYFUNCTION("""COMPUTED_VALUE"""),"Annisa Sakinah")</f>
        <v>Annisa Sakinah</v>
      </c>
      <c r="G935" s="6" t="str">
        <f>IFERROR(__xludf.DUMMYFUNCTION("""COMPUTED_VALUE"""),"7472024605030001")</f>
        <v>7472024605030001</v>
      </c>
      <c r="J935" s="7" t="str">
        <f>IFERROR(__xludf.DUMMYFUNCTION("""COMPUTED_VALUE"""),"PEREMPUAN")</f>
        <v>PEREMPUAN</v>
      </c>
      <c r="K935" s="6" t="str">
        <f>IFERROR(__xludf.DUMMYFUNCTION("""COMPUTED_VALUE"""),"Jalan Kelapa, Kel. Wangkanapi, Kec. Wolio")</f>
        <v>Jalan Kelapa, Kel. Wangkanapi, Kec. Wolio</v>
      </c>
      <c r="R935" s="7" t="str">
        <f>IFERROR(__xludf.DUMMYFUNCTION("""COMPUTED_VALUE"""),"K")</f>
        <v>K</v>
      </c>
    </row>
    <row r="936" ht="22.5" customHeight="1">
      <c r="A936" s="6">
        <v>935.0</v>
      </c>
      <c r="B936" s="6" t="str">
        <f>IFERROR(__xludf.DUMMYFUNCTION("""COMPUTED_VALUE"""),"Pengelolaan Administrasi Perkantoraan")</f>
        <v>Pengelolaan Administrasi Perkantoraan</v>
      </c>
      <c r="C936" s="8" t="s">
        <v>22</v>
      </c>
      <c r="F936" s="6" t="str">
        <f>IFERROR(__xludf.DUMMYFUNCTION("""COMPUTED_VALUE"""),"Lina Papalia ")</f>
        <v>Lina Papalia </v>
      </c>
      <c r="G936" s="6" t="str">
        <f>IFERROR(__xludf.DUMMYFUNCTION("""COMPUTED_VALUE"""),"7404304308040001")</f>
        <v>7404304308040001</v>
      </c>
      <c r="J936" s="7" t="str">
        <f>IFERROR(__xludf.DUMMYFUNCTION("""COMPUTED_VALUE"""),"PEREMPUAN")</f>
        <v>PEREMPUAN</v>
      </c>
      <c r="K936" s="6" t="str">
        <f>IFERROR(__xludf.DUMMYFUNCTION("""COMPUTED_VALUE"""),"Desa Wolowa kecamatan Wolowa ")</f>
        <v>Desa Wolowa kecamatan Wolowa </v>
      </c>
      <c r="R936" s="7" t="str">
        <f>IFERROR(__xludf.DUMMYFUNCTION("""COMPUTED_VALUE"""),"K")</f>
        <v>K</v>
      </c>
    </row>
    <row r="937" ht="22.5" customHeight="1">
      <c r="A937" s="6">
        <v>936.0</v>
      </c>
      <c r="B937" s="6" t="str">
        <f>IFERROR(__xludf.DUMMYFUNCTION("""COMPUTED_VALUE"""),"Pengelolaan Administrasi Perkantoraan")</f>
        <v>Pengelolaan Administrasi Perkantoraan</v>
      </c>
      <c r="C937" s="8" t="s">
        <v>22</v>
      </c>
      <c r="F937" s="6" t="str">
        <f>IFERROR(__xludf.DUMMYFUNCTION("""COMPUTED_VALUE"""),"Ria Tantri Amelia")</f>
        <v>Ria Tantri Amelia</v>
      </c>
      <c r="G937" s="6" t="str">
        <f>IFERROR(__xludf.DUMMYFUNCTION("""COMPUTED_VALUE"""),"7471037012030001")</f>
        <v>7471037012030001</v>
      </c>
      <c r="J937" s="7" t="str">
        <f>IFERROR(__xludf.DUMMYFUNCTION("""COMPUTED_VALUE"""),"PEREMPUAN")</f>
        <v>PEREMPUAN</v>
      </c>
      <c r="K937" s="6" t="str">
        <f>IFERROR(__xludf.DUMMYFUNCTION("""COMPUTED_VALUE"""),"BTN BUKIT PERMATA HIJAU C1 NO 5")</f>
        <v>BTN BUKIT PERMATA HIJAU C1 NO 5</v>
      </c>
      <c r="R937" s="7" t="str">
        <f>IFERROR(__xludf.DUMMYFUNCTION("""COMPUTED_VALUE"""),"K")</f>
        <v>K</v>
      </c>
    </row>
    <row r="938" ht="22.5" customHeight="1">
      <c r="A938" s="6">
        <v>937.0</v>
      </c>
      <c r="B938" s="6" t="str">
        <f>IFERROR(__xludf.DUMMYFUNCTION("""COMPUTED_VALUE"""),"Pengelolaan Administrasi Perkantoraan")</f>
        <v>Pengelolaan Administrasi Perkantoraan</v>
      </c>
      <c r="C938" s="8" t="s">
        <v>22</v>
      </c>
      <c r="F938" s="6" t="str">
        <f>IFERROR(__xludf.DUMMYFUNCTION("""COMPUTED_VALUE"""),"Muhammad Rahmadani")</f>
        <v>Muhammad Rahmadani</v>
      </c>
      <c r="G938" s="6" t="str">
        <f>IFERROR(__xludf.DUMMYFUNCTION("""COMPUTED_VALUE"""),"7471077011030001")</f>
        <v>7471077011030001</v>
      </c>
      <c r="J938" s="7" t="str">
        <f>IFERROR(__xludf.DUMMYFUNCTION("""COMPUTED_VALUE"""),"LAKI-LAKI")</f>
        <v>LAKI-LAKI</v>
      </c>
      <c r="K938" s="6" t="str">
        <f>IFERROR(__xludf.DUMMYFUNCTION("""COMPUTED_VALUE"""),"jln. pattimura")</f>
        <v>jln. pattimura</v>
      </c>
      <c r="R938" s="7" t="str">
        <f>IFERROR(__xludf.DUMMYFUNCTION("""COMPUTED_VALUE"""),"K")</f>
        <v>K</v>
      </c>
    </row>
    <row r="939" ht="22.5" customHeight="1">
      <c r="A939" s="6">
        <v>938.0</v>
      </c>
      <c r="B939" s="6" t="str">
        <f>IFERROR(__xludf.DUMMYFUNCTION("""COMPUTED_VALUE"""),"Pengelolaan Administrasi Perkantoraan")</f>
        <v>Pengelolaan Administrasi Perkantoraan</v>
      </c>
      <c r="C939" s="8" t="s">
        <v>22</v>
      </c>
      <c r="F939" s="6" t="str">
        <f>IFERROR(__xludf.DUMMYFUNCTION("""COMPUTED_VALUE"""),"Tiara Nur Jumei")</f>
        <v>Tiara Nur Jumei</v>
      </c>
      <c r="G939" s="6" t="str">
        <f>IFERROR(__xludf.DUMMYFUNCTION("""COMPUTED_VALUE"""),"7402054905030001")</f>
        <v>7402054905030001</v>
      </c>
      <c r="J939" s="7" t="str">
        <f>IFERROR(__xludf.DUMMYFUNCTION("""COMPUTED_VALUE"""),"PEREMPUAN")</f>
        <v>PEREMPUAN</v>
      </c>
      <c r="K939" s="6" t="str">
        <f>IFERROR(__xludf.DUMMYFUNCTION("""COMPUTED_VALUE"""),"Desa Andadowi Kecamatan Sampara Kabupaten Konawe")</f>
        <v>Desa Andadowi Kecamatan Sampara Kabupaten Konawe</v>
      </c>
      <c r="R939" s="7" t="str">
        <f>IFERROR(__xludf.DUMMYFUNCTION("""COMPUTED_VALUE"""),"K")</f>
        <v>K</v>
      </c>
    </row>
    <row r="940" ht="22.5" customHeight="1">
      <c r="A940" s="6">
        <v>939.0</v>
      </c>
      <c r="B940" s="6" t="str">
        <f>IFERROR(__xludf.DUMMYFUNCTION("""COMPUTED_VALUE"""),"Pengelolaan Administrasi Perkantoraan")</f>
        <v>Pengelolaan Administrasi Perkantoraan</v>
      </c>
      <c r="C940" s="8" t="s">
        <v>22</v>
      </c>
      <c r="F940" s="6" t="str">
        <f>IFERROR(__xludf.DUMMYFUNCTION("""COMPUTED_VALUE"""),"Susi Widianti")</f>
        <v>Susi Widianti</v>
      </c>
      <c r="G940" s="6" t="str">
        <f>IFERROR(__xludf.DUMMYFUNCTION("""COMPUTED_VALUE"""),"7404075812030001")</f>
        <v>7404075812030001</v>
      </c>
      <c r="J940" s="7" t="str">
        <f>IFERROR(__xludf.DUMMYFUNCTION("""COMPUTED_VALUE"""),"PEREMPUAN")</f>
        <v>PEREMPUAN</v>
      </c>
      <c r="K940" s="6" t="str">
        <f>IFERROR(__xludf.DUMMYFUNCTION("""COMPUTED_VALUE"""),"Desa Wajogu, Kec. Lakudo, Kab. Buton Tengah")</f>
        <v>Desa Wajogu, Kec. Lakudo, Kab. Buton Tengah</v>
      </c>
      <c r="R940" s="7" t="str">
        <f>IFERROR(__xludf.DUMMYFUNCTION("""COMPUTED_VALUE"""),"K")</f>
        <v>K</v>
      </c>
    </row>
    <row r="941" ht="22.5" customHeight="1">
      <c r="A941" s="6">
        <v>940.0</v>
      </c>
      <c r="B941" s="6" t="str">
        <f>IFERROR(__xludf.DUMMYFUNCTION("""COMPUTED_VALUE"""),"Asisten Pengembangan Web (Assistant Web Developer)")</f>
        <v>Asisten Pengembangan Web (Assistant Web Developer)</v>
      </c>
      <c r="C941" s="8" t="s">
        <v>22</v>
      </c>
      <c r="F941" s="6" t="str">
        <f>IFERROR(__xludf.DUMMYFUNCTION("""COMPUTED_VALUE"""),"Ikhsanuddin Rezki")</f>
        <v>Ikhsanuddin Rezki</v>
      </c>
      <c r="G941" s="6" t="str">
        <f>IFERROR(__xludf.DUMMYFUNCTION("""COMPUTED_VALUE"""),"7471091101040003")</f>
        <v>7471091101040003</v>
      </c>
      <c r="J941" s="7" t="str">
        <f>IFERROR(__xludf.DUMMYFUNCTION("""COMPUTED_VALUE"""),"LAKI-LAKI")</f>
        <v>LAKI-LAKI</v>
      </c>
      <c r="K941" s="6" t="str">
        <f>IFERROR(__xludf.DUMMYFUNCTION("""COMPUTED_VALUE"""),"Jl Budi Utomo RT 008, RW 003")</f>
        <v>Jl Budi Utomo RT 008, RW 003</v>
      </c>
      <c r="R941" s="7" t="str">
        <f>IFERROR(__xludf.DUMMYFUNCTION("""COMPUTED_VALUE"""),"K")</f>
        <v>K</v>
      </c>
    </row>
    <row r="942" ht="22.5" customHeight="1">
      <c r="A942" s="6">
        <v>941.0</v>
      </c>
      <c r="B942" s="6" t="str">
        <f>IFERROR(__xludf.DUMMYFUNCTION("""COMPUTED_VALUE"""),"Asisten Pengembangan Web (Assistant Web Developer)")</f>
        <v>Asisten Pengembangan Web (Assistant Web Developer)</v>
      </c>
      <c r="C942" s="8" t="s">
        <v>22</v>
      </c>
      <c r="F942" s="6" t="str">
        <f>IFERROR(__xludf.DUMMYFUNCTION("""COMPUTED_VALUE"""),"Widya Tridamayana")</f>
        <v>Widya Tridamayana</v>
      </c>
      <c r="G942" s="6" t="str">
        <f>IFERROR(__xludf.DUMMYFUNCTION("""COMPUTED_VALUE"""),"7207064803030001")</f>
        <v>7207064803030001</v>
      </c>
      <c r="J942" s="7" t="str">
        <f>IFERROR(__xludf.DUMMYFUNCTION("""COMPUTED_VALUE"""),"PEREMPUAN")</f>
        <v>PEREMPUAN</v>
      </c>
      <c r="K942" s="6" t="str">
        <f>IFERROR(__xludf.DUMMYFUNCTION("""COMPUTED_VALUE"""),"PROV.SULAWESI TENGAH, KAB.KABUPATEN BANGGAI,KEC.LUWUK UTARA,KEL.KILONGAN PERMAI")</f>
        <v>PROV.SULAWESI TENGAH, KAB.KABUPATEN BANGGAI,KEC.LUWUK UTARA,KEL.KILONGAN PERMAI</v>
      </c>
      <c r="R942" s="7" t="str">
        <f>IFERROR(__xludf.DUMMYFUNCTION("""COMPUTED_VALUE"""),"K")</f>
        <v>K</v>
      </c>
    </row>
    <row r="943" ht="22.5" customHeight="1">
      <c r="A943" s="6">
        <v>942.0</v>
      </c>
      <c r="B943" s="6" t="str">
        <f>IFERROR(__xludf.DUMMYFUNCTION("""COMPUTED_VALUE"""),"Asisten Pengembangan Web (Assistant Web Developer)")</f>
        <v>Asisten Pengembangan Web (Assistant Web Developer)</v>
      </c>
      <c r="C943" s="8" t="s">
        <v>22</v>
      </c>
      <c r="F943" s="6" t="str">
        <f>IFERROR(__xludf.DUMMYFUNCTION("""COMPUTED_VALUE"""),"Fildzah Khalishah Ghassani")</f>
        <v>Fildzah Khalishah Ghassani</v>
      </c>
      <c r="G943" s="6" t="str">
        <f>IFERROR(__xludf.DUMMYFUNCTION("""COMPUTED_VALUE"""),"7471102011030001")</f>
        <v>7471102011030001</v>
      </c>
      <c r="J943" s="7" t="str">
        <f>IFERROR(__xludf.DUMMYFUNCTION("""COMPUTED_VALUE"""),"PEREMPUAN")</f>
        <v>PEREMPUAN</v>
      </c>
      <c r="K943" s="6" t="str">
        <f>IFERROR(__xludf.DUMMYFUNCTION("""COMPUTED_VALUE"""),"BTN Kendari Permai Blok B4 No. 8")</f>
        <v>BTN Kendari Permai Blok B4 No. 8</v>
      </c>
      <c r="R943" s="7" t="str">
        <f>IFERROR(__xludf.DUMMYFUNCTION("""COMPUTED_VALUE"""),"K")</f>
        <v>K</v>
      </c>
    </row>
    <row r="944" ht="22.5" customHeight="1">
      <c r="A944" s="6">
        <v>943.0</v>
      </c>
      <c r="B944" s="6" t="str">
        <f>IFERROR(__xludf.DUMMYFUNCTION("""COMPUTED_VALUE"""),"Asisten Pengembangan Web (Assistant Web Developer)")</f>
        <v>Asisten Pengembangan Web (Assistant Web Developer)</v>
      </c>
      <c r="C944" s="8" t="s">
        <v>22</v>
      </c>
      <c r="F944" s="6" t="str">
        <f>IFERROR(__xludf.DUMMYFUNCTION("""COMPUTED_VALUE"""),"Agrian Wahab")</f>
        <v>Agrian Wahab</v>
      </c>
      <c r="G944" s="6" t="str">
        <f>IFERROR(__xludf.DUMMYFUNCTION("""COMPUTED_VALUE"""),"7471032907030001")</f>
        <v>7471032907030001</v>
      </c>
      <c r="J944" s="7" t="str">
        <f>IFERROR(__xludf.DUMMYFUNCTION("""COMPUTED_VALUE"""),"LAKI-LAKI")</f>
        <v>LAKI-LAKI</v>
      </c>
      <c r="K944" s="6" t="str">
        <f>IFERROR(__xludf.DUMMYFUNCTION("""COMPUTED_VALUE"""),"jalan kapten piere tendean")</f>
        <v>jalan kapten piere tendean</v>
      </c>
      <c r="R944" s="7" t="str">
        <f>IFERROR(__xludf.DUMMYFUNCTION("""COMPUTED_VALUE"""),"K")</f>
        <v>K</v>
      </c>
    </row>
    <row r="945" ht="22.5" customHeight="1">
      <c r="A945" s="6">
        <v>944.0</v>
      </c>
      <c r="B945" s="6" t="str">
        <f>IFERROR(__xludf.DUMMYFUNCTION("""COMPUTED_VALUE"""),"Supervisor Sumber Daya Manusia")</f>
        <v>Supervisor Sumber Daya Manusia</v>
      </c>
      <c r="C945" s="8" t="s">
        <v>22</v>
      </c>
      <c r="F945" s="6" t="str">
        <f>IFERROR(__xludf.DUMMYFUNCTION("""COMPUTED_VALUE"""),"Henra Hermawan")</f>
        <v>Henra Hermawan</v>
      </c>
      <c r="G945" s="6" t="str">
        <f>IFERROR(__xludf.DUMMYFUNCTION("""COMPUTED_VALUE"""),"7322117103030001")</f>
        <v>7322117103030001</v>
      </c>
      <c r="J945" s="7" t="str">
        <f>IFERROR(__xludf.DUMMYFUNCTION("""COMPUTED_VALUE"""),"PEREMPUAN")</f>
        <v>PEREMPUAN</v>
      </c>
      <c r="K945" s="6" t="str">
        <f>IFERROR(__xludf.DUMMYFUNCTION("""COMPUTED_VALUE"""),"Jl. Kamande, Desa Lara, Kec. Baebunta Selatan, Kab. Luwu Utara ")</f>
        <v>Jl. Kamande, Desa Lara, Kec. Baebunta Selatan, Kab. Luwu Utara </v>
      </c>
      <c r="R945" s="7" t="str">
        <f>IFERROR(__xludf.DUMMYFUNCTION("""COMPUTED_VALUE"""),"K")</f>
        <v>K</v>
      </c>
    </row>
    <row r="946" ht="22.5" customHeight="1">
      <c r="A946" s="6">
        <v>945.0</v>
      </c>
      <c r="B946" s="6" t="str">
        <f>IFERROR(__xludf.DUMMYFUNCTION("""COMPUTED_VALUE"""),"Supervisor Sumber Daya Manusia")</f>
        <v>Supervisor Sumber Daya Manusia</v>
      </c>
      <c r="C946" s="8" t="s">
        <v>22</v>
      </c>
      <c r="F946" s="6" t="str">
        <f>IFERROR(__xludf.DUMMYFUNCTION("""COMPUTED_VALUE"""),"ANGGUNLINA DARMAWATI BANGGUT")</f>
        <v>ANGGUNLINA DARMAWATI BANGGUT</v>
      </c>
      <c r="G946" s="6" t="str">
        <f>IFERROR(__xludf.DUMMYFUNCTION("""COMPUTED_VALUE"""),"7407016508030001")</f>
        <v>7407016508030001</v>
      </c>
      <c r="J946" s="7" t="str">
        <f>IFERROR(__xludf.DUMMYFUNCTION("""COMPUTED_VALUE"""),"PEREMPUAN")</f>
        <v>PEREMPUAN</v>
      </c>
      <c r="K946" s="6" t="str">
        <f>IFERROR(__xludf.DUMMYFUNCTION("""COMPUTED_VALUE"""),"Jl. Lawata")</f>
        <v>Jl. Lawata</v>
      </c>
      <c r="R946" s="7" t="str">
        <f>IFERROR(__xludf.DUMMYFUNCTION("""COMPUTED_VALUE"""),"K")</f>
        <v>K</v>
      </c>
    </row>
    <row r="947" ht="22.5" customHeight="1">
      <c r="A947" s="6">
        <v>946.0</v>
      </c>
      <c r="B947" s="6" t="str">
        <f>IFERROR(__xludf.DUMMYFUNCTION("""COMPUTED_VALUE"""),"Supervisor Sumber Daya Manusia")</f>
        <v>Supervisor Sumber Daya Manusia</v>
      </c>
      <c r="C947" s="8" t="s">
        <v>22</v>
      </c>
      <c r="F947" s="6" t="str">
        <f>IFERROR(__xludf.DUMMYFUNCTION("""COMPUTED_VALUE"""),"Akmal Maulana Al Juwaeni")</f>
        <v>Akmal Maulana Al Juwaeni</v>
      </c>
      <c r="G947" s="6" t="str">
        <f>IFERROR(__xludf.DUMMYFUNCTION("""COMPUTED_VALUE"""),"3573031803030002")</f>
        <v>3573031803030002</v>
      </c>
      <c r="J947" s="7" t="str">
        <f>IFERROR(__xludf.DUMMYFUNCTION("""COMPUTED_VALUE"""),"LAKI-LAKI")</f>
        <v>LAKI-LAKI</v>
      </c>
      <c r="K947" s="6" t="str">
        <f>IFERROR(__xludf.DUMMYFUNCTION("""COMPUTED_VALUE"""),"Jl Christina Martha Tiahahu Rt 02 Rw 01 Kel. Lepo lepo. Kec Baruga Kota Kendari Sulawesi Tenggara")</f>
        <v>Jl Christina Martha Tiahahu Rt 02 Rw 01 Kel. Lepo lepo. Kec Baruga Kota Kendari Sulawesi Tenggara</v>
      </c>
      <c r="R947" s="7" t="str">
        <f>IFERROR(__xludf.DUMMYFUNCTION("""COMPUTED_VALUE"""),"K")</f>
        <v>K</v>
      </c>
    </row>
    <row r="948" ht="22.5" customHeight="1">
      <c r="A948" s="6">
        <v>947.0</v>
      </c>
      <c r="B948" s="6" t="str">
        <f>IFERROR(__xludf.DUMMYFUNCTION("""COMPUTED_VALUE"""),"Supervisor Sumber Daya Manusia")</f>
        <v>Supervisor Sumber Daya Manusia</v>
      </c>
      <c r="C948" s="8" t="s">
        <v>22</v>
      </c>
      <c r="F948" s="6" t="str">
        <f>IFERROR(__xludf.DUMMYFUNCTION("""COMPUTED_VALUE"""),"Fahrani Saleh")</f>
        <v>Fahrani Saleh</v>
      </c>
      <c r="G948" s="6" t="str">
        <f>IFERROR(__xludf.DUMMYFUNCTION("""COMPUTED_VALUE"""),"7472024804010002")</f>
        <v>7472024804010002</v>
      </c>
      <c r="J948" s="7" t="str">
        <f>IFERROR(__xludf.DUMMYFUNCTION("""COMPUTED_VALUE"""),"PEREMPUAN")</f>
        <v>PEREMPUAN</v>
      </c>
      <c r="K948" s="6" t="str">
        <f>IFERROR(__xludf.DUMMYFUNCTION("""COMPUTED_VALUE"""),"Lingkungan Jabal Rahmah, Kel. Kadolo Katapi, Kec. Wolio, Kota Baubau")</f>
        <v>Lingkungan Jabal Rahmah, Kel. Kadolo Katapi, Kec. Wolio, Kota Baubau</v>
      </c>
      <c r="R948" s="7" t="str">
        <f>IFERROR(__xludf.DUMMYFUNCTION("""COMPUTED_VALUE"""),"K")</f>
        <v>K</v>
      </c>
    </row>
    <row r="949" ht="22.5" customHeight="1">
      <c r="A949" s="6">
        <v>948.0</v>
      </c>
      <c r="B949" s="6" t="str">
        <f>IFERROR(__xludf.DUMMYFUNCTION("""COMPUTED_VALUE"""),"Analis Data (Data Analyst)")</f>
        <v>Analis Data (Data Analyst)</v>
      </c>
      <c r="C949" s="8" t="s">
        <v>22</v>
      </c>
      <c r="F949" s="6" t="str">
        <f>IFERROR(__xludf.DUMMYFUNCTION("""COMPUTED_VALUE"""),"Muhamad Fajrianza ")</f>
        <v>Muhamad Fajrianza </v>
      </c>
      <c r="G949" s="6" t="str">
        <f>IFERROR(__xludf.DUMMYFUNCTION("""COMPUTED_VALUE"""),"7402201408030003")</f>
        <v>7402201408030003</v>
      </c>
      <c r="J949" s="7" t="str">
        <f>IFERROR(__xludf.DUMMYFUNCTION("""COMPUTED_VALUE"""),"LAKI-LAKI")</f>
        <v>LAKI-LAKI</v>
      </c>
      <c r="K949" s="6" t="str">
        <f>IFERROR(__xludf.DUMMYFUNCTION("""COMPUTED_VALUE"""),"Ulupohara")</f>
        <v>Ulupohara</v>
      </c>
      <c r="R949" s="7" t="str">
        <f>IFERROR(__xludf.DUMMYFUNCTION("""COMPUTED_VALUE"""),"K")</f>
        <v>K</v>
      </c>
    </row>
    <row r="950" ht="22.5" customHeight="1">
      <c r="A950" s="6">
        <v>949.0</v>
      </c>
      <c r="B950" s="6" t="str">
        <f>IFERROR(__xludf.DUMMYFUNCTION("""COMPUTED_VALUE"""),"Analis Data (Data Analyst)")</f>
        <v>Analis Data (Data Analyst)</v>
      </c>
      <c r="C950" s="8" t="s">
        <v>22</v>
      </c>
      <c r="F950" s="6" t="str">
        <f>IFERROR(__xludf.DUMMYFUNCTION("""COMPUTED_VALUE"""),"WA ODE HASNAWATI RAJAB")</f>
        <v>WA ODE HASNAWATI RAJAB</v>
      </c>
      <c r="G950" s="6" t="str">
        <f>IFERROR(__xludf.DUMMYFUNCTION("""COMPUTED_VALUE"""),"7472016308020002")</f>
        <v>7472016308020002</v>
      </c>
      <c r="J950" s="7" t="str">
        <f>IFERROR(__xludf.DUMMYFUNCTION("""COMPUTED_VALUE"""),"PEREMPUAN")</f>
        <v>PEREMPUAN</v>
      </c>
      <c r="K950" s="6" t="str">
        <f>IFERROR(__xludf.DUMMYFUNCTION("""COMPUTED_VALUE"""),"jalan gajah mada no 150, kel lipu")</f>
        <v>jalan gajah mada no 150, kel lipu</v>
      </c>
      <c r="R950" s="7" t="str">
        <f>IFERROR(__xludf.DUMMYFUNCTION("""COMPUTED_VALUE"""),"K")</f>
        <v>K</v>
      </c>
    </row>
    <row r="951" ht="22.5" customHeight="1">
      <c r="A951" s="6">
        <v>950.0</v>
      </c>
      <c r="B951" s="6" t="str">
        <f>IFERROR(__xludf.DUMMYFUNCTION("""COMPUTED_VALUE"""),"Digital Marketing")</f>
        <v>Digital Marketing</v>
      </c>
      <c r="C951" s="8" t="s">
        <v>22</v>
      </c>
      <c r="F951" s="6" t="str">
        <f>IFERROR(__xludf.DUMMYFUNCTION("""COMPUTED_VALUE"""),"Novrianti")</f>
        <v>Novrianti</v>
      </c>
      <c r="G951" s="6" t="str">
        <f>IFERROR(__xludf.DUMMYFUNCTION("""COMPUTED_VALUE"""),"7401024503000002")</f>
        <v>7401024503000002</v>
      </c>
      <c r="J951" s="7" t="str">
        <f>IFERROR(__xludf.DUMMYFUNCTION("""COMPUTED_VALUE"""),"PEREMPUAN")</f>
        <v>PEREMPUAN</v>
      </c>
      <c r="K951" s="6" t="str">
        <f>IFERROR(__xludf.DUMMYFUNCTION("""COMPUTED_VALUE"""),"Jl. Lumba-Lumba")</f>
        <v>Jl. Lumba-Lumba</v>
      </c>
      <c r="R951" s="7" t="str">
        <f>IFERROR(__xludf.DUMMYFUNCTION("""COMPUTED_VALUE"""),"K")</f>
        <v>K</v>
      </c>
    </row>
    <row r="952" ht="22.5" customHeight="1">
      <c r="A952" s="6">
        <v>951.0</v>
      </c>
      <c r="B952" s="6" t="str">
        <f>IFERROR(__xludf.DUMMYFUNCTION("""COMPUTED_VALUE"""),"Pelayanan Pelanggan")</f>
        <v>Pelayanan Pelanggan</v>
      </c>
      <c r="C952" s="8" t="s">
        <v>22</v>
      </c>
      <c r="F952" s="6" t="str">
        <f>IFERROR(__xludf.DUMMYFUNCTION("""COMPUTED_VALUE"""),"Cici Oktavia")</f>
        <v>Cici Oktavia</v>
      </c>
      <c r="G952" s="6" t="str">
        <f>IFERROR(__xludf.DUMMYFUNCTION("""COMPUTED_VALUE"""),"7402164202020001")</f>
        <v>7402164202020001</v>
      </c>
      <c r="J952" s="7" t="str">
        <f>IFERROR(__xludf.DUMMYFUNCTION("""COMPUTED_VALUE"""),"PEREMPUAN")</f>
        <v>PEREMPUAN</v>
      </c>
      <c r="K952" s="6" t="str">
        <f>IFERROR(__xludf.DUMMYFUNCTION("""COMPUTED_VALUE"""),"Latoma ")</f>
        <v>Latoma </v>
      </c>
      <c r="R952" s="7" t="str">
        <f>IFERROR(__xludf.DUMMYFUNCTION("""COMPUTED_VALUE"""),"K")</f>
        <v>K</v>
      </c>
    </row>
    <row r="953" ht="22.5" customHeight="1">
      <c r="A953" s="6">
        <v>952.0</v>
      </c>
      <c r="B953" s="6" t="str">
        <f>IFERROR(__xludf.DUMMYFUNCTION("""COMPUTED_VALUE"""),"Pelayanan Pelanggan")</f>
        <v>Pelayanan Pelanggan</v>
      </c>
      <c r="C953" s="8" t="s">
        <v>22</v>
      </c>
      <c r="F953" s="6" t="str">
        <f>IFERROR(__xludf.DUMMYFUNCTION("""COMPUTED_VALUE"""),"NUR AISYAH ")</f>
        <v>NUR AISYAH </v>
      </c>
      <c r="G953" s="6" t="str">
        <f>IFERROR(__xludf.DUMMYFUNCTION("""COMPUTED_VALUE"""),"7371136006030017")</f>
        <v>7371136006030017</v>
      </c>
      <c r="J953" s="7" t="str">
        <f>IFERROR(__xludf.DUMMYFUNCTION("""COMPUTED_VALUE"""),"PEREMPUAN")</f>
        <v>PEREMPUAN</v>
      </c>
      <c r="K953" s="6" t="str">
        <f>IFERROR(__xludf.DUMMYFUNCTION("""COMPUTED_VALUE"""),"Jl. Ade Irma Nasution, Watubangga, Kec. Baruga Perumahan Baruga Harmoni 3")</f>
        <v>Jl. Ade Irma Nasution, Watubangga, Kec. Baruga Perumahan Baruga Harmoni 3</v>
      </c>
      <c r="R953" s="7" t="str">
        <f>IFERROR(__xludf.DUMMYFUNCTION("""COMPUTED_VALUE"""),"K")</f>
        <v>K</v>
      </c>
    </row>
    <row r="954" ht="22.5" customHeight="1">
      <c r="A954" s="6">
        <v>953.0</v>
      </c>
      <c r="B954" s="6" t="str">
        <f>IFERROR(__xludf.DUMMYFUNCTION("""COMPUTED_VALUE"""),"Pelayanan Pelanggan")</f>
        <v>Pelayanan Pelanggan</v>
      </c>
      <c r="C954" s="8" t="s">
        <v>22</v>
      </c>
      <c r="F954" s="6" t="str">
        <f>IFERROR(__xludf.DUMMYFUNCTION("""COMPUTED_VALUE"""),"Noni Fadila ")</f>
        <v>Noni Fadila </v>
      </c>
      <c r="G954" s="6" t="str">
        <f>IFERROR(__xludf.DUMMYFUNCTION("""COMPUTED_VALUE"""),"7403086409020201")</f>
        <v>7403086409020201</v>
      </c>
      <c r="J954" s="7" t="str">
        <f>IFERROR(__xludf.DUMMYFUNCTION("""COMPUTED_VALUE"""),"PEREMPUAN")</f>
        <v>PEREMPUAN</v>
      </c>
      <c r="K954" s="6" t="str">
        <f>IFERROR(__xludf.DUMMYFUNCTION("""COMPUTED_VALUE"""),"Desa Pure")</f>
        <v>Desa Pure</v>
      </c>
      <c r="R954" s="7" t="str">
        <f>IFERROR(__xludf.DUMMYFUNCTION("""COMPUTED_VALUE"""),"K")</f>
        <v>K</v>
      </c>
    </row>
    <row r="955" ht="22.5" customHeight="1">
      <c r="A955" s="6">
        <v>954.0</v>
      </c>
      <c r="B955" s="6" t="str">
        <f>IFERROR(__xludf.DUMMYFUNCTION("""COMPUTED_VALUE"""),"Pelayanan Pelanggan")</f>
        <v>Pelayanan Pelanggan</v>
      </c>
      <c r="C955" s="8" t="s">
        <v>22</v>
      </c>
      <c r="F955" s="6" t="str">
        <f>IFERROR(__xludf.DUMMYFUNCTION("""COMPUTED_VALUE"""),"Widia Astuti. R")</f>
        <v>Widia Astuti. R</v>
      </c>
      <c r="G955" s="6" t="str">
        <f>IFERROR(__xludf.DUMMYFUNCTION("""COMPUTED_VALUE"""),"7405076008030001")</f>
        <v>7405076008030001</v>
      </c>
      <c r="J955" s="7" t="str">
        <f>IFERROR(__xludf.DUMMYFUNCTION("""COMPUTED_VALUE"""),"PEREMPUAN")</f>
        <v>PEREMPUAN</v>
      </c>
      <c r="K955" s="6" t="str">
        <f>IFERROR(__xludf.DUMMYFUNCTION("""COMPUTED_VALUE"""),"Desa Morome ")</f>
        <v>Desa Morome </v>
      </c>
      <c r="R955" s="7" t="str">
        <f>IFERROR(__xludf.DUMMYFUNCTION("""COMPUTED_VALUE"""),"K")</f>
        <v>K</v>
      </c>
    </row>
    <row r="956" ht="22.5" customHeight="1">
      <c r="A956" s="6">
        <v>955.0</v>
      </c>
      <c r="B956" s="6" t="str">
        <f>IFERROR(__xludf.DUMMYFUNCTION("""COMPUTED_VALUE"""),"Pelayanan Pelanggan")</f>
        <v>Pelayanan Pelanggan</v>
      </c>
      <c r="C956" s="8" t="s">
        <v>22</v>
      </c>
      <c r="F956" s="6" t="str">
        <f>IFERROR(__xludf.DUMMYFUNCTION("""COMPUTED_VALUE"""),"MUHAMMAD AL FANDI BASKARA ")</f>
        <v>MUHAMMAD AL FANDI BASKARA </v>
      </c>
      <c r="G956" s="6" t="str">
        <f>IFERROR(__xludf.DUMMYFUNCTION("""COMPUTED_VALUE"""),"7406041403040001")</f>
        <v>7406041403040001</v>
      </c>
      <c r="J956" s="7" t="str">
        <f>IFERROR(__xludf.DUMMYFUNCTION("""COMPUTED_VALUE"""),"LAKI-LAKI")</f>
        <v>LAKI-LAKI</v>
      </c>
      <c r="K956" s="6" t="str">
        <f>IFERROR(__xludf.DUMMYFUNCTION("""COMPUTED_VALUE"""),"Kel.Lameroro ")</f>
        <v>Kel.Lameroro </v>
      </c>
      <c r="R956" s="7" t="str">
        <f>IFERROR(__xludf.DUMMYFUNCTION("""COMPUTED_VALUE"""),"K")</f>
        <v>K</v>
      </c>
    </row>
    <row r="957" ht="22.5" customHeight="1">
      <c r="A957" s="6">
        <v>956.0</v>
      </c>
      <c r="B957" s="6" t="str">
        <f>IFERROR(__xludf.DUMMYFUNCTION("""COMPUTED_VALUE"""),"Pelayanan Pelanggan")</f>
        <v>Pelayanan Pelanggan</v>
      </c>
      <c r="C957" s="8" t="s">
        <v>22</v>
      </c>
      <c r="F957" s="6" t="str">
        <f>IFERROR(__xludf.DUMMYFUNCTION("""COMPUTED_VALUE"""),"Zahrah Faradilla")</f>
        <v>Zahrah Faradilla</v>
      </c>
      <c r="G957" s="6" t="str">
        <f>IFERROR(__xludf.DUMMYFUNCTION("""COMPUTED_VALUE"""),"6471045102030002")</f>
        <v>6471045102030002</v>
      </c>
      <c r="J957" s="7" t="str">
        <f>IFERROR(__xludf.DUMMYFUNCTION("""COMPUTED_VALUE"""),"PEREMPUAN")</f>
        <v>PEREMPUAN</v>
      </c>
      <c r="K957" s="6" t="str">
        <f>IFERROR(__xludf.DUMMYFUNCTION("""COMPUTED_VALUE"""),"Jl.Anawai")</f>
        <v>Jl.Anawai</v>
      </c>
      <c r="R957" s="7" t="str">
        <f>IFERROR(__xludf.DUMMYFUNCTION("""COMPUTED_VALUE"""),"K")</f>
        <v>K</v>
      </c>
    </row>
    <row r="958" ht="22.5" customHeight="1">
      <c r="A958" s="6">
        <v>957.0</v>
      </c>
      <c r="B958" s="6" t="str">
        <f>IFERROR(__xludf.DUMMYFUNCTION("""COMPUTED_VALUE"""),"Pelayanan Pelanggan")</f>
        <v>Pelayanan Pelanggan</v>
      </c>
      <c r="C958" s="8" t="s">
        <v>22</v>
      </c>
      <c r="F958" s="6" t="str">
        <f>IFERROR(__xludf.DUMMYFUNCTION("""COMPUTED_VALUE"""),"Susmita")</f>
        <v>Susmita</v>
      </c>
      <c r="G958" s="6" t="str">
        <f>IFERROR(__xludf.DUMMYFUNCTION("""COMPUTED_VALUE"""),"7404116003030001")</f>
        <v>7404116003030001</v>
      </c>
      <c r="J958" s="7" t="str">
        <f>IFERROR(__xludf.DUMMYFUNCTION("""COMPUTED_VALUE"""),"PEREMPUAN")</f>
        <v>PEREMPUAN</v>
      </c>
      <c r="K958" s="6" t="str">
        <f>IFERROR(__xludf.DUMMYFUNCTION("""COMPUTED_VALUE"""),"Lorong Berlian, Jalan H.E.A Mokodompit (akses Kampus Baru UHO), Kelurahan Kambu, Kecamatan Kambu, Kota Kendari.")</f>
        <v>Lorong Berlian, Jalan H.E.A Mokodompit (akses Kampus Baru UHO), Kelurahan Kambu, Kecamatan Kambu, Kota Kendari.</v>
      </c>
      <c r="R958" s="7" t="str">
        <f>IFERROR(__xludf.DUMMYFUNCTION("""COMPUTED_VALUE"""),"K")</f>
        <v>K</v>
      </c>
    </row>
    <row r="959" ht="22.5" customHeight="1">
      <c r="A959" s="6">
        <v>958.0</v>
      </c>
      <c r="B959" s="6" t="str">
        <f>IFERROR(__xludf.DUMMYFUNCTION("""COMPUTED_VALUE"""),"Pelayanan Pelanggan")</f>
        <v>Pelayanan Pelanggan</v>
      </c>
      <c r="C959" s="8" t="s">
        <v>22</v>
      </c>
      <c r="F959" s="6" t="str">
        <f>IFERROR(__xludf.DUMMYFUNCTION("""COMPUTED_VALUE"""),"Citra Atma Sasmita ")</f>
        <v>Citra Atma Sasmita </v>
      </c>
      <c r="G959" s="6" t="str">
        <f>IFERROR(__xludf.DUMMYFUNCTION("""COMPUTED_VALUE"""),"7402205104030002")</f>
        <v>7402205104030002</v>
      </c>
      <c r="J959" s="7" t="str">
        <f>IFERROR(__xludf.DUMMYFUNCTION("""COMPUTED_VALUE"""),"PEREMPUAN")</f>
        <v>PEREMPUAN</v>
      </c>
      <c r="K959" s="6" t="str">
        <f>IFERROR(__xludf.DUMMYFUNCTION("""COMPUTED_VALUE"""),"Jl. Poros Kendari-Unaaha, Ds. Asunde, Kec. Besulutu, Kab. Konawe ")</f>
        <v>Jl. Poros Kendari-Unaaha, Ds. Asunde, Kec. Besulutu, Kab. Konawe </v>
      </c>
      <c r="R959" s="7" t="str">
        <f>IFERROR(__xludf.DUMMYFUNCTION("""COMPUTED_VALUE"""),"K")</f>
        <v>K</v>
      </c>
    </row>
    <row r="960" ht="22.5" customHeight="1">
      <c r="A960" s="6">
        <v>959.0</v>
      </c>
      <c r="B960" s="6" t="str">
        <f>IFERROR(__xludf.DUMMYFUNCTION("""COMPUTED_VALUE"""),"Pelayanan Pelanggan")</f>
        <v>Pelayanan Pelanggan</v>
      </c>
      <c r="C960" s="8" t="s">
        <v>22</v>
      </c>
      <c r="F960" s="6" t="str">
        <f>IFERROR(__xludf.DUMMYFUNCTION("""COMPUTED_VALUE"""),"Yulita")</f>
        <v>Yulita</v>
      </c>
      <c r="G960" s="6" t="str">
        <f>IFERROR(__xludf.DUMMYFUNCTION("""COMPUTED_VALUE"""),"7471035107010001")</f>
        <v>7471035107010001</v>
      </c>
      <c r="J960" s="7" t="str">
        <f>IFERROR(__xludf.DUMMYFUNCTION("""COMPUTED_VALUE"""),"PEREMPUAN")</f>
        <v>PEREMPUAN</v>
      </c>
      <c r="K960" s="6" t="str">
        <f>IFERROR(__xludf.DUMMYFUNCTION("""COMPUTED_VALUE"""),"Jln. Ade Irma Nasution")</f>
        <v>Jln. Ade Irma Nasution</v>
      </c>
      <c r="R960" s="7" t="str">
        <f>IFERROR(__xludf.DUMMYFUNCTION("""COMPUTED_VALUE"""),"K")</f>
        <v>K</v>
      </c>
    </row>
    <row r="961" ht="22.5" customHeight="1">
      <c r="A961" s="6">
        <v>960.0</v>
      </c>
      <c r="B961" s="6" t="str">
        <f>IFERROR(__xludf.DUMMYFUNCTION("""COMPUTED_VALUE"""),"Pelayanan Pelanggan")</f>
        <v>Pelayanan Pelanggan</v>
      </c>
      <c r="C961" s="8" t="s">
        <v>22</v>
      </c>
      <c r="F961" s="6" t="str">
        <f>IFERROR(__xludf.DUMMYFUNCTION("""COMPUTED_VALUE"""),"SALIMIN")</f>
        <v>SALIMIN</v>
      </c>
      <c r="G961" s="6" t="str">
        <f>IFERROR(__xludf.DUMMYFUNCTION("""COMPUTED_VALUE"""),"7403060110020201")</f>
        <v>7403060110020201</v>
      </c>
      <c r="J961" s="7" t="str">
        <f>IFERROR(__xludf.DUMMYFUNCTION("""COMPUTED_VALUE"""),"LAKI-LAKI")</f>
        <v>LAKI-LAKI</v>
      </c>
      <c r="K961" s="6" t="str">
        <f>IFERROR(__xludf.DUMMYFUNCTION("""COMPUTED_VALUE"""),"Jl. Malaka Lorong Anaway, Lalolara, Kec. Kambu, Kota Kendari, Sulawesi Tenggara")</f>
        <v>Jl. Malaka Lorong Anaway, Lalolara, Kec. Kambu, Kota Kendari, Sulawesi Tenggara</v>
      </c>
      <c r="R961" s="7" t="str">
        <f>IFERROR(__xludf.DUMMYFUNCTION("""COMPUTED_VALUE"""),"K")</f>
        <v>K</v>
      </c>
    </row>
    <row r="962" ht="22.5" customHeight="1">
      <c r="A962" s="6">
        <v>961.0</v>
      </c>
      <c r="B962" s="6" t="str">
        <f>IFERROR(__xludf.DUMMYFUNCTION("""COMPUTED_VALUE"""),"Pelayanan Pelanggan")</f>
        <v>Pelayanan Pelanggan</v>
      </c>
      <c r="C962" s="8" t="s">
        <v>22</v>
      </c>
      <c r="F962" s="6" t="str">
        <f>IFERROR(__xludf.DUMMYFUNCTION("""COMPUTED_VALUE"""),"SRI SELVI")</f>
        <v>SRI SELVI</v>
      </c>
      <c r="G962" s="6" t="str">
        <f>IFERROR(__xludf.DUMMYFUNCTION("""COMPUTED_VALUE"""),"7406154806030002")</f>
        <v>7406154806030002</v>
      </c>
      <c r="J962" s="7" t="str">
        <f>IFERROR(__xludf.DUMMYFUNCTION("""COMPUTED_VALUE"""),"PEREMPUAN")</f>
        <v>PEREMPUAN</v>
      </c>
      <c r="K962" s="6" t="str">
        <f>IFERROR(__xludf.DUMMYFUNCTION("""COMPUTED_VALUE"""),"desa tedubara")</f>
        <v>desa tedubara</v>
      </c>
      <c r="R962" s="7" t="str">
        <f>IFERROR(__xludf.DUMMYFUNCTION("""COMPUTED_VALUE"""),"K")</f>
        <v>K</v>
      </c>
    </row>
    <row r="963" ht="22.5" customHeight="1">
      <c r="A963" s="6">
        <v>962.0</v>
      </c>
      <c r="B963" s="6" t="str">
        <f>IFERROR(__xludf.DUMMYFUNCTION("""COMPUTED_VALUE"""),"Pelayanan Pelanggan")</f>
        <v>Pelayanan Pelanggan</v>
      </c>
      <c r="C963" s="8" t="s">
        <v>22</v>
      </c>
      <c r="F963" s="6" t="str">
        <f>IFERROR(__xludf.DUMMYFUNCTION("""COMPUTED_VALUE"""),"Niki Martin")</f>
        <v>Niki Martin</v>
      </c>
      <c r="G963" s="6" t="str">
        <f>IFERROR(__xludf.DUMMYFUNCTION("""COMPUTED_VALUE"""),"7402044405030001")</f>
        <v>7402044405030001</v>
      </c>
      <c r="J963" s="7" t="str">
        <f>IFERROR(__xludf.DUMMYFUNCTION("""COMPUTED_VALUE"""),"PEREMPUAN")</f>
        <v>PEREMPUAN</v>
      </c>
      <c r="K963" s="6" t="str">
        <f>IFERROR(__xludf.DUMMYFUNCTION("""COMPUTED_VALUE"""),"Desa Lahunggumbi kec Pondidaha")</f>
        <v>Desa Lahunggumbi kec Pondidaha</v>
      </c>
      <c r="R963" s="7" t="str">
        <f>IFERROR(__xludf.DUMMYFUNCTION("""COMPUTED_VALUE"""),"K")</f>
        <v>K</v>
      </c>
    </row>
    <row r="964" ht="22.5" customHeight="1">
      <c r="A964" s="6">
        <v>963.0</v>
      </c>
      <c r="B964" s="6" t="str">
        <f>IFERROR(__xludf.DUMMYFUNCTION("""COMPUTED_VALUE"""),"Pelayanan Pelanggan")</f>
        <v>Pelayanan Pelanggan</v>
      </c>
      <c r="C964" s="8" t="s">
        <v>22</v>
      </c>
      <c r="F964" s="6" t="str">
        <f>IFERROR(__xludf.DUMMYFUNCTION("""COMPUTED_VALUE"""),"AMAR MA'RUF")</f>
        <v>AMAR MA'RUF</v>
      </c>
      <c r="G964" s="6" t="str">
        <f>IFERROR(__xludf.DUMMYFUNCTION("""COMPUTED_VALUE"""),"7471071005020001")</f>
        <v>7471071005020001</v>
      </c>
      <c r="J964" s="7" t="str">
        <f>IFERROR(__xludf.DUMMYFUNCTION("""COMPUTED_VALUE"""),"LAKI-LAKI")</f>
        <v>LAKI-LAKI</v>
      </c>
      <c r="K964" s="6" t="str">
        <f>IFERROR(__xludf.DUMMYFUNCTION("""COMPUTED_VALUE"""),"JLN RATNASARI BLOK K NO 10")</f>
        <v>JLN RATNASARI BLOK K NO 10</v>
      </c>
      <c r="R964" s="7" t="str">
        <f>IFERROR(__xludf.DUMMYFUNCTION("""COMPUTED_VALUE"""),"K")</f>
        <v>K</v>
      </c>
    </row>
    <row r="965" ht="22.5" customHeight="1">
      <c r="A965" s="6">
        <v>964.0</v>
      </c>
      <c r="B965" s="6" t="str">
        <f>IFERROR(__xludf.DUMMYFUNCTION("""COMPUTED_VALUE"""),"Pelayanan Pelanggan")</f>
        <v>Pelayanan Pelanggan</v>
      </c>
      <c r="C965" s="8" t="s">
        <v>22</v>
      </c>
      <c r="F965" s="6" t="str">
        <f>IFERROR(__xludf.DUMMYFUNCTION("""COMPUTED_VALUE"""),"Zainatul Naim ")</f>
        <v>Zainatul Naim </v>
      </c>
      <c r="G965" s="6" t="str">
        <f>IFERROR(__xludf.DUMMYFUNCTION("""COMPUTED_VALUE"""),"7404082508010001")</f>
        <v>7404082508010001</v>
      </c>
      <c r="J965" s="7" t="str">
        <f>IFERROR(__xludf.DUMMYFUNCTION("""COMPUTED_VALUE"""),"LAKI-LAKI")</f>
        <v>LAKI-LAKI</v>
      </c>
      <c r="K965" s="6" t="str">
        <f>IFERROR(__xludf.DUMMYFUNCTION("""COMPUTED_VALUE"""),"Kampung Baru,Desa Waliko")</f>
        <v>Kampung Baru,Desa Waliko</v>
      </c>
      <c r="R965" s="7" t="str">
        <f>IFERROR(__xludf.DUMMYFUNCTION("""COMPUTED_VALUE"""),"K")</f>
        <v>K</v>
      </c>
    </row>
    <row r="966" ht="22.5" customHeight="1">
      <c r="A966" s="6">
        <v>965.0</v>
      </c>
      <c r="B966" s="6" t="str">
        <f>IFERROR(__xludf.DUMMYFUNCTION("""COMPUTED_VALUE"""),"Pelayanan Pelanggan")</f>
        <v>Pelayanan Pelanggan</v>
      </c>
      <c r="C966" s="8" t="s">
        <v>22</v>
      </c>
      <c r="F966" s="6" t="str">
        <f>IFERROR(__xludf.DUMMYFUNCTION("""COMPUTED_VALUE"""),"Nova Arfiah")</f>
        <v>Nova Arfiah</v>
      </c>
      <c r="G966" s="6" t="str">
        <f>IFERROR(__xludf.DUMMYFUNCTION("""COMPUTED_VALUE"""),"7472025411030001")</f>
        <v>7472025411030001</v>
      </c>
      <c r="J966" s="7" t="str">
        <f>IFERROR(__xludf.DUMMYFUNCTION("""COMPUTED_VALUE"""),"PEREMPUAN")</f>
        <v>PEREMPUAN</v>
      </c>
      <c r="K966" s="6" t="str">
        <f>IFERROR(__xludf.DUMMYFUNCTION("""COMPUTED_VALUE"""),"Jalan Limbo Wolio, Kelurahan Katobengke, Kecamatan Betoambari")</f>
        <v>Jalan Limbo Wolio, Kelurahan Katobengke, Kecamatan Betoambari</v>
      </c>
      <c r="R966" s="7" t="str">
        <f>IFERROR(__xludf.DUMMYFUNCTION("""COMPUTED_VALUE"""),"K")</f>
        <v>K</v>
      </c>
    </row>
    <row r="967" ht="22.5" customHeight="1">
      <c r="A967" s="6">
        <v>966.0</v>
      </c>
      <c r="B967" s="6" t="str">
        <f>IFERROR(__xludf.DUMMYFUNCTION("""COMPUTED_VALUE"""),"Pelayanan Pelanggan")</f>
        <v>Pelayanan Pelanggan</v>
      </c>
      <c r="C967" s="8" t="s">
        <v>22</v>
      </c>
      <c r="F967" s="6" t="str">
        <f>IFERROR(__xludf.DUMMYFUNCTION("""COMPUTED_VALUE"""),"Nurela")</f>
        <v>Nurela</v>
      </c>
      <c r="G967" s="6" t="str">
        <f>IFERROR(__xludf.DUMMYFUNCTION("""COMPUTED_VALUE"""),"7401235609020001")</f>
        <v>7401235609020001</v>
      </c>
      <c r="J967" s="7" t="str">
        <f>IFERROR(__xludf.DUMMYFUNCTION("""COMPUTED_VALUE"""),"PEREMPUAN")</f>
        <v>PEREMPUAN</v>
      </c>
      <c r="K967" s="6" t="str">
        <f>IFERROR(__xludf.DUMMYFUNCTION("""COMPUTED_VALUE"""),"Desa Lalosingi, Kec. Lalolae, Kab. Kolaka Timur, Sulawesi Tenggara.")</f>
        <v>Desa Lalosingi, Kec. Lalolae, Kab. Kolaka Timur, Sulawesi Tenggara.</v>
      </c>
      <c r="R967" s="7" t="str">
        <f>IFERROR(__xludf.DUMMYFUNCTION("""COMPUTED_VALUE"""),"K")</f>
        <v>K</v>
      </c>
    </row>
    <row r="968" ht="22.5" customHeight="1">
      <c r="A968" s="6">
        <v>967.0</v>
      </c>
      <c r="B968" s="6" t="str">
        <f>IFERROR(__xludf.DUMMYFUNCTION("""COMPUTED_VALUE"""),"Pelayanan Pelanggan")</f>
        <v>Pelayanan Pelanggan</v>
      </c>
      <c r="C968" s="8" t="s">
        <v>22</v>
      </c>
      <c r="F968" s="6" t="str">
        <f>IFERROR(__xludf.DUMMYFUNCTION("""COMPUTED_VALUE"""),"HADIJA")</f>
        <v>HADIJA</v>
      </c>
      <c r="G968" s="6" t="str">
        <f>IFERROR(__xludf.DUMMYFUNCTION("""COMPUTED_VALUE"""),"7408076312010001")</f>
        <v>7408076312010001</v>
      </c>
      <c r="J968" s="7" t="str">
        <f>IFERROR(__xludf.DUMMYFUNCTION("""COMPUTED_VALUE"""),"PEREMPUAN")</f>
        <v>PEREMPUAN</v>
      </c>
      <c r="K968" s="6" t="str">
        <f>IFERROR(__xludf.DUMMYFUNCTION("""COMPUTED_VALUE"""),"Desa Tinukari Kec.Wawo Kab.Kolaka Utara Prov. Sulawesi Tenggara")</f>
        <v>Desa Tinukari Kec.Wawo Kab.Kolaka Utara Prov. Sulawesi Tenggara</v>
      </c>
      <c r="R968" s="7" t="str">
        <f>IFERROR(__xludf.DUMMYFUNCTION("""COMPUTED_VALUE"""),"K")</f>
        <v>K</v>
      </c>
    </row>
    <row r="969" ht="22.5" customHeight="1">
      <c r="A969" s="6">
        <v>968.0</v>
      </c>
      <c r="B969" s="6" t="str">
        <f>IFERROR(__xludf.DUMMYFUNCTION("""COMPUTED_VALUE"""),"Pelayanan Pelanggan")</f>
        <v>Pelayanan Pelanggan</v>
      </c>
      <c r="C969" s="8" t="s">
        <v>22</v>
      </c>
      <c r="F969" s="6" t="str">
        <f>IFERROR(__xludf.DUMMYFUNCTION("""COMPUTED_VALUE"""),"Wa Ode Sulfiani")</f>
        <v>Wa Ode Sulfiani</v>
      </c>
      <c r="G969" s="6" t="str">
        <f>IFERROR(__xludf.DUMMYFUNCTION("""COMPUTED_VALUE"""),"7404104105030003")</f>
        <v>7404104105030003</v>
      </c>
      <c r="J969" s="7" t="str">
        <f>IFERROR(__xludf.DUMMYFUNCTION("""COMPUTED_VALUE"""),"PEREMPUAN")</f>
        <v>PEREMPUAN</v>
      </c>
      <c r="K969" s="6" t="str">
        <f>IFERROR(__xludf.DUMMYFUNCTION("""COMPUTED_VALUE"""),"LANDE, DESA GERAK MAKMUR, KEC. SAMPOLAWA, KAB. BUTON SELATAN, PROVINSI SULAWESI TENGGARA, INDONESIA")</f>
        <v>LANDE, DESA GERAK MAKMUR, KEC. SAMPOLAWA, KAB. BUTON SELATAN, PROVINSI SULAWESI TENGGARA, INDONESIA</v>
      </c>
      <c r="R969" s="7" t="str">
        <f>IFERROR(__xludf.DUMMYFUNCTION("""COMPUTED_VALUE"""),"K")</f>
        <v>K</v>
      </c>
    </row>
    <row r="970" ht="22.5" customHeight="1">
      <c r="A970" s="6">
        <v>969.0</v>
      </c>
      <c r="B970" s="6" t="str">
        <f>IFERROR(__xludf.DUMMYFUNCTION("""COMPUTED_VALUE"""),"Pelayanan Pelanggan")</f>
        <v>Pelayanan Pelanggan</v>
      </c>
      <c r="C970" s="8" t="s">
        <v>22</v>
      </c>
      <c r="F970" s="6" t="str">
        <f>IFERROR(__xludf.DUMMYFUNCTION("""COMPUTED_VALUE"""),"Wiwin Indrayani")</f>
        <v>Wiwin Indrayani</v>
      </c>
      <c r="G970" s="6" t="str">
        <f>IFERROR(__xludf.DUMMYFUNCTION("""COMPUTED_VALUE"""),"7407056101030002")</f>
        <v>7407056101030002</v>
      </c>
      <c r="J970" s="7" t="str">
        <f>IFERROR(__xludf.DUMMYFUNCTION("""COMPUTED_VALUE"""),"PEREMPUAN")</f>
        <v>PEREMPUAN</v>
      </c>
      <c r="K970" s="6" t="str">
        <f>IFERROR(__xludf.DUMMYFUNCTION("""COMPUTED_VALUE"""),"Jl. Dusun Nelayan, Mola Selatan, Wangi-wangi Selatan, Kab. Wakatobi, Sulawesi Tenggara")</f>
        <v>Jl. Dusun Nelayan, Mola Selatan, Wangi-wangi Selatan, Kab. Wakatobi, Sulawesi Tenggara</v>
      </c>
      <c r="R970" s="7" t="str">
        <f>IFERROR(__xludf.DUMMYFUNCTION("""COMPUTED_VALUE"""),"K")</f>
        <v>K</v>
      </c>
    </row>
    <row r="971" ht="22.5" customHeight="1">
      <c r="A971" s="6">
        <v>970.0</v>
      </c>
      <c r="B971" s="6" t="str">
        <f>IFERROR(__xludf.DUMMYFUNCTION("""COMPUTED_VALUE"""),"Pelayanan Pelanggan")</f>
        <v>Pelayanan Pelanggan</v>
      </c>
      <c r="C971" s="8" t="s">
        <v>22</v>
      </c>
      <c r="F971" s="6" t="str">
        <f>IFERROR(__xludf.DUMMYFUNCTION("""COMPUTED_VALUE"""),"Ali Furqon Romadhoni")</f>
        <v>Ali Furqon Romadhoni</v>
      </c>
      <c r="G971" s="6" t="str">
        <f>IFERROR(__xludf.DUMMYFUNCTION("""COMPUTED_VALUE"""),"7405012311030002")</f>
        <v>7405012311030002</v>
      </c>
      <c r="J971" s="7" t="str">
        <f>IFERROR(__xludf.DUMMYFUNCTION("""COMPUTED_VALUE"""),"LAKI-LAKI")</f>
        <v>LAKI-LAKI</v>
      </c>
      <c r="K971" s="6" t="str">
        <f>IFERROR(__xludf.DUMMYFUNCTION("""COMPUTED_VALUE"""),"Asingi, Tinanggea, kab. Konawe Selatan, Sulawesi tenggara")</f>
        <v>Asingi, Tinanggea, kab. Konawe Selatan, Sulawesi tenggara</v>
      </c>
      <c r="R971" s="7" t="str">
        <f>IFERROR(__xludf.DUMMYFUNCTION("""COMPUTED_VALUE"""),"K")</f>
        <v>K</v>
      </c>
    </row>
    <row r="972" ht="22.5" customHeight="1">
      <c r="A972" s="6">
        <v>971.0</v>
      </c>
      <c r="B972" s="6" t="str">
        <f>IFERROR(__xludf.DUMMYFUNCTION("""COMPUTED_VALUE"""),"Pelayanan Pelanggan")</f>
        <v>Pelayanan Pelanggan</v>
      </c>
      <c r="C972" s="8" t="s">
        <v>22</v>
      </c>
      <c r="F972" s="6" t="str">
        <f>IFERROR(__xludf.DUMMYFUNCTION("""COMPUTED_VALUE"""),"JURAENI")</f>
        <v>JURAENI</v>
      </c>
      <c r="G972" s="6" t="str">
        <f>IFERROR(__xludf.DUMMYFUNCTION("""COMPUTED_VALUE"""),"7408015310010001")</f>
        <v>7408015310010001</v>
      </c>
      <c r="J972" s="7" t="str">
        <f>IFERROR(__xludf.DUMMYFUNCTION("""COMPUTED_VALUE"""),"PEREMPUAN")</f>
        <v>PEREMPUAN</v>
      </c>
      <c r="K972" s="6" t="str">
        <f>IFERROR(__xludf.DUMMYFUNCTION("""COMPUTED_VALUE"""),"Desa puncak monapa kec. Lasusua Kab. Kolaka utara Provinsi Sulawesi Tenggara")</f>
        <v>Desa puncak monapa kec. Lasusua Kab. Kolaka utara Provinsi Sulawesi Tenggara</v>
      </c>
      <c r="R972" s="7" t="str">
        <f>IFERROR(__xludf.DUMMYFUNCTION("""COMPUTED_VALUE"""),"K")</f>
        <v>K</v>
      </c>
    </row>
    <row r="973" ht="22.5" customHeight="1">
      <c r="A973" s="6">
        <v>972.0</v>
      </c>
      <c r="B973" s="6" t="str">
        <f>IFERROR(__xludf.DUMMYFUNCTION("""COMPUTED_VALUE"""),"Penyusunan Laporan Keuangan Untuk Pemula")</f>
        <v>Penyusunan Laporan Keuangan Untuk Pemula</v>
      </c>
      <c r="C973" s="8" t="s">
        <v>22</v>
      </c>
      <c r="F973" s="6" t="str">
        <f>IFERROR(__xludf.DUMMYFUNCTION("""COMPUTED_VALUE"""),"Nur Dhea Ananda Arsyad ")</f>
        <v>Nur Dhea Ananda Arsyad </v>
      </c>
      <c r="G973" s="6" t="str">
        <f>IFERROR(__xludf.DUMMYFUNCTION("""COMPUTED_VALUE"""),"7201045501020001")</f>
        <v>7201045501020001</v>
      </c>
      <c r="J973" s="7" t="str">
        <f>IFERROR(__xludf.DUMMYFUNCTION("""COMPUTED_VALUE"""),"PEREMPUAN")</f>
        <v>PEREMPUAN</v>
      </c>
      <c r="K973" s="6" t="str">
        <f>IFERROR(__xludf.DUMMYFUNCTION("""COMPUTED_VALUE"""),"Jalan imam Bonjol Km2 ")</f>
        <v>Jalan imam Bonjol Km2 </v>
      </c>
      <c r="R973" s="7" t="str">
        <f>IFERROR(__xludf.DUMMYFUNCTION("""COMPUTED_VALUE"""),"K")</f>
        <v>K</v>
      </c>
    </row>
    <row r="974" ht="22.5" customHeight="1">
      <c r="A974" s="6">
        <v>973.0</v>
      </c>
      <c r="B974" s="6" t="str">
        <f>IFERROR(__xludf.DUMMYFUNCTION("""COMPUTED_VALUE"""),"Penyusunan Laporan Keuangan Untuk Pemula")</f>
        <v>Penyusunan Laporan Keuangan Untuk Pemula</v>
      </c>
      <c r="C974" s="8" t="s">
        <v>22</v>
      </c>
      <c r="F974" s="6" t="str">
        <f>IFERROR(__xludf.DUMMYFUNCTION("""COMPUTED_VALUE"""),"KOMANG CINDY DIAH PRAMESTI")</f>
        <v>KOMANG CINDY DIAH PRAMESTI</v>
      </c>
      <c r="G974" s="6" t="str">
        <f>IFERROR(__xludf.DUMMYFUNCTION("""COMPUTED_VALUE"""),"7403115003040201")</f>
        <v>7403115003040201</v>
      </c>
      <c r="J974" s="7" t="str">
        <f>IFERROR(__xludf.DUMMYFUNCTION("""COMPUTED_VALUE"""),"PEREMPUAN")</f>
        <v>PEREMPUAN</v>
      </c>
      <c r="K974" s="6" t="str">
        <f>IFERROR(__xludf.DUMMYFUNCTION("""COMPUTED_VALUE"""),"Jl. Subsidi, Perumahan Griya Lepo-Lepo")</f>
        <v>Jl. Subsidi, Perumahan Griya Lepo-Lepo</v>
      </c>
      <c r="R974" s="7" t="str">
        <f>IFERROR(__xludf.DUMMYFUNCTION("""COMPUTED_VALUE"""),"K")</f>
        <v>K</v>
      </c>
    </row>
    <row r="975" ht="22.5" customHeight="1">
      <c r="A975" s="6">
        <v>974.0</v>
      </c>
      <c r="B975" s="6" t="str">
        <f>IFERROR(__xludf.DUMMYFUNCTION("""COMPUTED_VALUE"""),"Penyusunan Laporan Keuangan Untuk Pemula")</f>
        <v>Penyusunan Laporan Keuangan Untuk Pemula</v>
      </c>
      <c r="C975" s="8" t="s">
        <v>22</v>
      </c>
      <c r="F975" s="6" t="str">
        <f>IFERROR(__xludf.DUMMYFUNCTION("""COMPUTED_VALUE"""),"SARLINA")</f>
        <v>SARLINA</v>
      </c>
      <c r="G975" s="6" t="str">
        <f>IFERROR(__xludf.DUMMYFUNCTION("""COMPUTED_VALUE"""),"7410025105030001")</f>
        <v>7410025105030001</v>
      </c>
      <c r="J975" s="7" t="str">
        <f>IFERROR(__xludf.DUMMYFUNCTION("""COMPUTED_VALUE"""),"PEREMPUAN")</f>
        <v>PEREMPUAN</v>
      </c>
      <c r="K975" s="6" t="str">
        <f>IFERROR(__xludf.DUMMYFUNCTION("""COMPUTED_VALUE"""),"BTN Kendari Permai, Blok G2 Kel. Padaleu, Kambu, Kota Kendari")</f>
        <v>BTN Kendari Permai, Blok G2 Kel. Padaleu, Kambu, Kota Kendari</v>
      </c>
      <c r="R975" s="7" t="str">
        <f>IFERROR(__xludf.DUMMYFUNCTION("""COMPUTED_VALUE"""),"K")</f>
        <v>K</v>
      </c>
    </row>
    <row r="976" ht="22.5" customHeight="1">
      <c r="A976" s="6">
        <v>975.0</v>
      </c>
      <c r="B976" s="6" t="str">
        <f>IFERROR(__xludf.DUMMYFUNCTION("""COMPUTED_VALUE"""),"Penyusunan Laporan Keuangan Untuk Pemula")</f>
        <v>Penyusunan Laporan Keuangan Untuk Pemula</v>
      </c>
      <c r="C976" s="8" t="s">
        <v>22</v>
      </c>
      <c r="F976" s="6" t="str">
        <f>IFERROR(__xludf.DUMMYFUNCTION("""COMPUTED_VALUE"""),"Husniatin")</f>
        <v>Husniatin</v>
      </c>
      <c r="G976" s="6" t="str">
        <f>IFERROR(__xludf.DUMMYFUNCTION("""COMPUTED_VALUE"""),"7402326411020001")</f>
        <v>7402326411020001</v>
      </c>
      <c r="J976" s="7" t="str">
        <f>IFERROR(__xludf.DUMMYFUNCTION("""COMPUTED_VALUE"""),"PEREMPUAN")</f>
        <v>PEREMPUAN</v>
      </c>
      <c r="K976" s="6" t="str">
        <f>IFERROR(__xludf.DUMMYFUNCTION("""COMPUTED_VALUE"""),"Baruga, Kota Kendari")</f>
        <v>Baruga, Kota Kendari</v>
      </c>
      <c r="R976" s="7" t="str">
        <f>IFERROR(__xludf.DUMMYFUNCTION("""COMPUTED_VALUE"""),"K")</f>
        <v>K</v>
      </c>
    </row>
    <row r="977" ht="22.5" customHeight="1">
      <c r="A977" s="6">
        <v>976.0</v>
      </c>
      <c r="B977" s="6" t="str">
        <f>IFERROR(__xludf.DUMMYFUNCTION("""COMPUTED_VALUE"""),"Petugas Keselematan dan Kesehatan Kerja")</f>
        <v>Petugas Keselematan dan Kesehatan Kerja</v>
      </c>
      <c r="C977" s="8" t="s">
        <v>22</v>
      </c>
      <c r="F977" s="6" t="str">
        <f>IFERROR(__xludf.DUMMYFUNCTION("""COMPUTED_VALUE"""),"Muhamad Arief Akbar Bora ")</f>
        <v>Muhamad Arief Akbar Bora </v>
      </c>
      <c r="G977" s="6" t="str">
        <f>IFERROR(__xludf.DUMMYFUNCTION("""COMPUTED_VALUE"""),"7403161012040001")</f>
        <v>7403161012040001</v>
      </c>
      <c r="J977" s="7" t="str">
        <f>IFERROR(__xludf.DUMMYFUNCTION("""COMPUTED_VALUE"""),"LAKI-LAKI")</f>
        <v>LAKI-LAKI</v>
      </c>
      <c r="K977" s="6" t="str">
        <f>IFERROR(__xludf.DUMMYFUNCTION("""COMPUTED_VALUE"""),"jl kontukowuna")</f>
        <v>jl kontukowuna</v>
      </c>
      <c r="R977" s="7" t="str">
        <f>IFERROR(__xludf.DUMMYFUNCTION("""COMPUTED_VALUE"""),"BK")</f>
        <v>BK</v>
      </c>
    </row>
    <row r="978" ht="22.5" customHeight="1">
      <c r="A978" s="6">
        <v>977.0</v>
      </c>
      <c r="B978" s="6" t="str">
        <f>IFERROR(__xludf.DUMMYFUNCTION("""COMPUTED_VALUE"""),"Petugas Keselematan dan Kesehatan Kerja")</f>
        <v>Petugas Keselematan dan Kesehatan Kerja</v>
      </c>
      <c r="C978" s="8" t="s">
        <v>22</v>
      </c>
      <c r="F978" s="6" t="str">
        <f>IFERROR(__xludf.DUMMYFUNCTION("""COMPUTED_VALUE"""),"M. Halilgibran")</f>
        <v>M. Halilgibran</v>
      </c>
      <c r="G978" s="6" t="str">
        <f>IFERROR(__xludf.DUMMYFUNCTION("""COMPUTED_VALUE"""),"7314052703030002")</f>
        <v>7314052703030002</v>
      </c>
      <c r="J978" s="7" t="str">
        <f>IFERROR(__xludf.DUMMYFUNCTION("""COMPUTED_VALUE"""),"LAKI-LAKI")</f>
        <v>LAKI-LAKI</v>
      </c>
      <c r="K978" s="6" t="str">
        <f>IFERROR(__xludf.DUMMYFUNCTION("""COMPUTED_VALUE"""),"Jl. Ahmad taufik, Kel. Lalebata, Kec. Pancarijang")</f>
        <v>Jl. Ahmad taufik, Kel. Lalebata, Kec. Pancarijang</v>
      </c>
      <c r="R978" s="7" t="str">
        <f>IFERROR(__xludf.DUMMYFUNCTION("""COMPUTED_VALUE"""),"K")</f>
        <v>K</v>
      </c>
    </row>
    <row r="979" ht="22.5" customHeight="1">
      <c r="A979" s="6">
        <v>978.0</v>
      </c>
      <c r="B979" s="6" t="str">
        <f>IFERROR(__xludf.DUMMYFUNCTION("""COMPUTED_VALUE"""),"Petugas Keselematan dan Kesehatan Kerja")</f>
        <v>Petugas Keselematan dan Kesehatan Kerja</v>
      </c>
      <c r="C979" s="8" t="s">
        <v>22</v>
      </c>
      <c r="F979" s="6" t="str">
        <f>IFERROR(__xludf.DUMMYFUNCTION("""COMPUTED_VALUE"""),"Wa Ode Nurwahyuni Mbay")</f>
        <v>Wa Ode Nurwahyuni Mbay</v>
      </c>
      <c r="G979" s="6" t="str">
        <f>IFERROR(__xludf.DUMMYFUNCTION("""COMPUTED_VALUE"""),"7472066208030001")</f>
        <v>7472066208030001</v>
      </c>
      <c r="J979" s="7" t="str">
        <f>IFERROR(__xludf.DUMMYFUNCTION("""COMPUTED_VALUE"""),"PEREMPUAN")</f>
        <v>PEREMPUAN</v>
      </c>
      <c r="K979" s="6" t="str">
        <f>IFERROR(__xludf.DUMMYFUNCTION("""COMPUTED_VALUE"""),"Jl. Labuke, Kel. Melai. Kec. Murhum")</f>
        <v>Jl. Labuke, Kel. Melai. Kec. Murhum</v>
      </c>
      <c r="R979" s="7" t="str">
        <f>IFERROR(__xludf.DUMMYFUNCTION("""COMPUTED_VALUE"""),"K")</f>
        <v>K</v>
      </c>
    </row>
    <row r="980" ht="22.5" customHeight="1">
      <c r="A980" s="6">
        <v>979.0</v>
      </c>
      <c r="B980" s="6" t="str">
        <f>IFERROR(__xludf.DUMMYFUNCTION("""COMPUTED_VALUE"""),"Petugas Keselematan dan Kesehatan Kerja")</f>
        <v>Petugas Keselematan dan Kesehatan Kerja</v>
      </c>
      <c r="C980" s="8" t="s">
        <v>22</v>
      </c>
      <c r="F980" s="6" t="str">
        <f>IFERROR(__xludf.DUMMYFUNCTION("""COMPUTED_VALUE"""),"Novianti ")</f>
        <v>Novianti </v>
      </c>
      <c r="G980" s="6" t="str">
        <f>IFERROR(__xludf.DUMMYFUNCTION("""COMPUTED_VALUE"""),"7404054305030003")</f>
        <v>7404054305030003</v>
      </c>
      <c r="J980" s="7" t="str">
        <f>IFERROR(__xludf.DUMMYFUNCTION("""COMPUTED_VALUE"""),"PEREMPUAN")</f>
        <v>PEREMPUAN</v>
      </c>
      <c r="K980" s="6" t="str">
        <f>IFERROR(__xludf.DUMMYFUNCTION("""COMPUTED_VALUE"""),"Lingk.Jalan Layang Kel. Watolo Kec. Mawasangka ")</f>
        <v>Lingk.Jalan Layang Kel. Watolo Kec. Mawasangka </v>
      </c>
      <c r="R980" s="7" t="str">
        <f>IFERROR(__xludf.DUMMYFUNCTION("""COMPUTED_VALUE"""),"K")</f>
        <v>K</v>
      </c>
    </row>
    <row r="981" ht="22.5" customHeight="1">
      <c r="A981" s="6">
        <v>980.0</v>
      </c>
      <c r="B981" s="6" t="str">
        <f>IFERROR(__xludf.DUMMYFUNCTION("""COMPUTED_VALUE"""),"Petugas Keselematan dan Kesehatan Kerja")</f>
        <v>Petugas Keselematan dan Kesehatan Kerja</v>
      </c>
      <c r="C981" s="8" t="s">
        <v>22</v>
      </c>
      <c r="F981" s="6" t="str">
        <f>IFERROR(__xludf.DUMMYFUNCTION("""COMPUTED_VALUE"""),"Gianni Aisyah Saputri ")</f>
        <v>Gianni Aisyah Saputri </v>
      </c>
      <c r="G981" s="6" t="str">
        <f>IFERROR(__xludf.DUMMYFUNCTION("""COMPUTED_VALUE"""),"7471105512030002")</f>
        <v>7471105512030002</v>
      </c>
      <c r="J981" s="7" t="str">
        <f>IFERROR(__xludf.DUMMYFUNCTION("""COMPUTED_VALUE"""),"PEREMPUAN")</f>
        <v>PEREMPUAN</v>
      </c>
      <c r="K981" s="6" t="str">
        <f>IFERROR(__xludf.DUMMYFUNCTION("""COMPUTED_VALUE"""),"Btn Azatata Citra Blok K/3")</f>
        <v>Btn Azatata Citra Blok K/3</v>
      </c>
      <c r="R981" s="7" t="str">
        <f>IFERROR(__xludf.DUMMYFUNCTION("""COMPUTED_VALUE"""),"K")</f>
        <v>K</v>
      </c>
    </row>
    <row r="982" ht="22.5" customHeight="1">
      <c r="A982" s="6">
        <v>981.0</v>
      </c>
      <c r="B982" s="6" t="str">
        <f>IFERROR(__xludf.DUMMYFUNCTION("""COMPUTED_VALUE"""),"Petugas Keselematan dan Kesehatan Kerja")</f>
        <v>Petugas Keselematan dan Kesehatan Kerja</v>
      </c>
      <c r="C982" s="8" t="s">
        <v>22</v>
      </c>
      <c r="F982" s="6" t="str">
        <f>IFERROR(__xludf.DUMMYFUNCTION("""COMPUTED_VALUE"""),"Anggli Febrina R.")</f>
        <v>Anggli Febrina R.</v>
      </c>
      <c r="G982" s="6" t="str">
        <f>IFERROR(__xludf.DUMMYFUNCTION("""COMPUTED_VALUE"""),"7405084502030002")</f>
        <v>7405084502030002</v>
      </c>
      <c r="J982" s="7" t="str">
        <f>IFERROR(__xludf.DUMMYFUNCTION("""COMPUTED_VALUE"""),"PEREMPUAN")</f>
        <v>PEREMPUAN</v>
      </c>
      <c r="K982" s="6" t="str">
        <f>IFERROR(__xludf.DUMMYFUNCTION("""COMPUTED_VALUE"""),"Desa Ambaipua, Kec Ranomeeto, Kab Konsel")</f>
        <v>Desa Ambaipua, Kec Ranomeeto, Kab Konsel</v>
      </c>
      <c r="R982" s="7" t="str">
        <f>IFERROR(__xludf.DUMMYFUNCTION("""COMPUTED_VALUE"""),"K")</f>
        <v>K</v>
      </c>
    </row>
    <row r="983" ht="22.5" customHeight="1">
      <c r="A983" s="6">
        <v>982.0</v>
      </c>
      <c r="B983" s="6" t="str">
        <f>IFERROR(__xludf.DUMMYFUNCTION("""COMPUTED_VALUE"""),"Petugas Keselematan dan Kesehatan Kerja")</f>
        <v>Petugas Keselematan dan Kesehatan Kerja</v>
      </c>
      <c r="C983" s="8" t="s">
        <v>22</v>
      </c>
      <c r="F983" s="6" t="str">
        <f>IFERROR(__xludf.DUMMYFUNCTION("""COMPUTED_VALUE"""),"YULI RAHAYU")</f>
        <v>YULI RAHAYU</v>
      </c>
      <c r="G983" s="6" t="str">
        <f>IFERROR(__xludf.DUMMYFUNCTION("""COMPUTED_VALUE"""),"7403115107030001")</f>
        <v>7403115107030001</v>
      </c>
      <c r="J983" s="7" t="str">
        <f>IFERROR(__xludf.DUMMYFUNCTION("""COMPUTED_VALUE"""),"PEREMPUAN")</f>
        <v>PEREMPUAN</v>
      </c>
      <c r="K983" s="6" t="str">
        <f>IFERROR(__xludf.DUMMYFUNCTION("""COMPUTED_VALUE"""),"Jl. Pendidikan")</f>
        <v>Jl. Pendidikan</v>
      </c>
      <c r="R983" s="7" t="str">
        <f>IFERROR(__xludf.DUMMYFUNCTION("""COMPUTED_VALUE"""),"K")</f>
        <v>K</v>
      </c>
    </row>
    <row r="984" ht="22.5" customHeight="1">
      <c r="A984" s="6">
        <v>983.0</v>
      </c>
      <c r="B984" s="6" t="str">
        <f>IFERROR(__xludf.DUMMYFUNCTION("""COMPUTED_VALUE"""),"Petugas Keselematan dan Kesehatan Kerja")</f>
        <v>Petugas Keselematan dan Kesehatan Kerja</v>
      </c>
      <c r="C984" s="8" t="s">
        <v>22</v>
      </c>
      <c r="F984" s="6" t="str">
        <f>IFERROR(__xludf.DUMMYFUNCTION("""COMPUTED_VALUE"""),"Akbar budiarsa")</f>
        <v>Akbar budiarsa</v>
      </c>
      <c r="G984" s="6" t="str">
        <f>IFERROR(__xludf.DUMMYFUNCTION("""COMPUTED_VALUE"""),"7403112806010202")</f>
        <v>7403112806010202</v>
      </c>
      <c r="J984" s="7" t="str">
        <f>IFERROR(__xludf.DUMMYFUNCTION("""COMPUTED_VALUE"""),"LAKI-LAKI")</f>
        <v>LAKI-LAKI</v>
      </c>
      <c r="K984" s="6" t="str">
        <f>IFERROR(__xludf.DUMMYFUNCTION("""COMPUTED_VALUE"""),"Jalan pendidikan(lrg kantor kpu muna)")</f>
        <v>Jalan pendidikan(lrg kantor kpu muna)</v>
      </c>
      <c r="R984" s="7" t="str">
        <f>IFERROR(__xludf.DUMMYFUNCTION("""COMPUTED_VALUE"""),"BK")</f>
        <v>BK</v>
      </c>
    </row>
    <row r="985" ht="22.5" customHeight="1">
      <c r="A985" s="6">
        <v>984.0</v>
      </c>
      <c r="B985" s="6" t="str">
        <f>IFERROR(__xludf.DUMMYFUNCTION("""COMPUTED_VALUE"""),"Petugas Keselematan dan Kesehatan Kerja")</f>
        <v>Petugas Keselematan dan Kesehatan Kerja</v>
      </c>
      <c r="C985" s="8" t="s">
        <v>22</v>
      </c>
      <c r="F985" s="6" t="str">
        <f>IFERROR(__xludf.DUMMYFUNCTION("""COMPUTED_VALUE"""),"Nadya Shafira")</f>
        <v>Nadya Shafira</v>
      </c>
      <c r="G985" s="6" t="str">
        <f>IFERROR(__xludf.DUMMYFUNCTION("""COMPUTED_VALUE"""),"7371115912010010")</f>
        <v>7371115912010010</v>
      </c>
      <c r="J985" s="7" t="str">
        <f>IFERROR(__xludf.DUMMYFUNCTION("""COMPUTED_VALUE"""),"PEREMPUAN")</f>
        <v>PEREMPUAN</v>
      </c>
      <c r="K985" s="6" t="str">
        <f>IFERROR(__xludf.DUMMYFUNCTION("""COMPUTED_VALUE"""),"Jl. Rajawali I no 100")</f>
        <v>Jl. Rajawali I no 100</v>
      </c>
      <c r="R985" s="7" t="str">
        <f>IFERROR(__xludf.DUMMYFUNCTION("""COMPUTED_VALUE"""),"K")</f>
        <v>K</v>
      </c>
    </row>
    <row r="986" ht="22.5" customHeight="1">
      <c r="A986" s="6">
        <v>985.0</v>
      </c>
      <c r="B986" s="6" t="str">
        <f>IFERROR(__xludf.DUMMYFUNCTION("""COMPUTED_VALUE"""),"Petugas Keselematan dan Kesehatan Kerja")</f>
        <v>Petugas Keselematan dan Kesehatan Kerja</v>
      </c>
      <c r="C986" s="8" t="s">
        <v>22</v>
      </c>
      <c r="F986" s="6" t="str">
        <f>IFERROR(__xludf.DUMMYFUNCTION("""COMPUTED_VALUE"""),"Salwa Ramadhani")</f>
        <v>Salwa Ramadhani</v>
      </c>
      <c r="G986" s="6" t="str">
        <f>IFERROR(__xludf.DUMMYFUNCTION("""COMPUTED_VALUE"""),"7471014411030001")</f>
        <v>7471014411030001</v>
      </c>
      <c r="J986" s="7" t="str">
        <f>IFERROR(__xludf.DUMMYFUNCTION("""COMPUTED_VALUE"""),"PEREMPUAN")</f>
        <v>PEREMPUAN</v>
      </c>
      <c r="K986" s="6" t="str">
        <f>IFERROR(__xludf.DUMMYFUNCTION("""COMPUTED_VALUE"""),"Jl. Made Sabara")</f>
        <v>Jl. Made Sabara</v>
      </c>
      <c r="R986" s="7" t="str">
        <f>IFERROR(__xludf.DUMMYFUNCTION("""COMPUTED_VALUE"""),"BK")</f>
        <v>BK</v>
      </c>
    </row>
    <row r="987" ht="22.5" customHeight="1">
      <c r="A987" s="6">
        <v>986.0</v>
      </c>
      <c r="B987" s="6" t="str">
        <f>IFERROR(__xludf.DUMMYFUNCTION("""COMPUTED_VALUE"""),"Petugas Keselematan dan Kesehatan Kerja")</f>
        <v>Petugas Keselematan dan Kesehatan Kerja</v>
      </c>
      <c r="C987" s="8" t="s">
        <v>22</v>
      </c>
      <c r="F987" s="6" t="str">
        <f>IFERROR(__xludf.DUMMYFUNCTION("""COMPUTED_VALUE"""),"Keke Nur Eka Prayana")</f>
        <v>Keke Nur Eka Prayana</v>
      </c>
      <c r="G987" s="6" t="str">
        <f>IFERROR(__xludf.DUMMYFUNCTION("""COMPUTED_VALUE"""),"7405044701040002")</f>
        <v>7405044701040002</v>
      </c>
      <c r="J987" s="7" t="str">
        <f>IFERROR(__xludf.DUMMYFUNCTION("""COMPUTED_VALUE"""),"PEREMPUAN")</f>
        <v>PEREMPUAN</v>
      </c>
      <c r="K987" s="6" t="str">
        <f>IFERROR(__xludf.DUMMYFUNCTION("""COMPUTED_VALUE"""),"DESA EEWA KECAMATAN PALANGGA KABUPATEN KONAWE SELATAN PROVINSI SULAWESI TENGGARA")</f>
        <v>DESA EEWA KECAMATAN PALANGGA KABUPATEN KONAWE SELATAN PROVINSI SULAWESI TENGGARA</v>
      </c>
      <c r="R987" s="7" t="str">
        <f>IFERROR(__xludf.DUMMYFUNCTION("""COMPUTED_VALUE"""),"BK")</f>
        <v>BK</v>
      </c>
    </row>
    <row r="988" ht="22.5" customHeight="1">
      <c r="A988" s="6">
        <v>987.0</v>
      </c>
      <c r="B988" s="6" t="str">
        <f>IFERROR(__xludf.DUMMYFUNCTION("""COMPUTED_VALUE"""),"Petugas Keselematan dan Kesehatan Kerja")</f>
        <v>Petugas Keselematan dan Kesehatan Kerja</v>
      </c>
      <c r="C988" s="8" t="s">
        <v>22</v>
      </c>
      <c r="F988" s="6" t="str">
        <f>IFERROR(__xludf.DUMMYFUNCTION("""COMPUTED_VALUE"""),"Fitrah Daulia")</f>
        <v>Fitrah Daulia</v>
      </c>
      <c r="G988" s="6" t="str">
        <f>IFERROR(__xludf.DUMMYFUNCTION("""COMPUTED_VALUE"""),"7406054412020001")</f>
        <v>7406054412020001</v>
      </c>
      <c r="J988" s="7" t="str">
        <f>IFERROR(__xludf.DUMMYFUNCTION("""COMPUTED_VALUE"""),"PEREMPUAN")</f>
        <v>PEREMPUAN</v>
      </c>
      <c r="K988" s="6" t="str">
        <f>IFERROR(__xludf.DUMMYFUNCTION("""COMPUTED_VALUE"""),"BTN TAWANG ALUN 8, JL.LEMPARENG 2 ANDONOHU, POASIA KOTA KENDARI, SULAWESI TENGGARA")</f>
        <v>BTN TAWANG ALUN 8, JL.LEMPARENG 2 ANDONOHU, POASIA KOTA KENDARI, SULAWESI TENGGARA</v>
      </c>
      <c r="R988" s="7" t="str">
        <f>IFERROR(__xludf.DUMMYFUNCTION("""COMPUTED_VALUE"""),"BK")</f>
        <v>BK</v>
      </c>
    </row>
    <row r="989" ht="22.5" customHeight="1">
      <c r="A989" s="6">
        <v>988.0</v>
      </c>
      <c r="B989" s="6" t="str">
        <f>IFERROR(__xludf.DUMMYFUNCTION("""COMPUTED_VALUE"""),"Petugas Keselematan dan Kesehatan Kerja")</f>
        <v>Petugas Keselematan dan Kesehatan Kerja</v>
      </c>
      <c r="C989" s="8" t="s">
        <v>22</v>
      </c>
      <c r="F989" s="6" t="str">
        <f>IFERROR(__xludf.DUMMYFUNCTION("""COMPUTED_VALUE"""),"Irgy Adhipramana")</f>
        <v>Irgy Adhipramana</v>
      </c>
      <c r="G989" s="6" t="str">
        <f>IFERROR(__xludf.DUMMYFUNCTION("""COMPUTED_VALUE"""),"7403111208030001")</f>
        <v>7403111208030001</v>
      </c>
      <c r="J989" s="7" t="str">
        <f>IFERROR(__xludf.DUMMYFUNCTION("""COMPUTED_VALUE"""),"LAKI-LAKI")</f>
        <v>LAKI-LAKI</v>
      </c>
      <c r="K989" s="6" t="str">
        <f>IFERROR(__xludf.DUMMYFUNCTION("""COMPUTED_VALUE"""),"Jl Ronggo Warsito, Sanenrejo, Kec. Tempurejo, Kabupaten Jember, Jawa Timur")</f>
        <v>Jl Ronggo Warsito, Sanenrejo, Kec. Tempurejo, Kabupaten Jember, Jawa Timur</v>
      </c>
      <c r="R989" s="7" t="str">
        <f>IFERROR(__xludf.DUMMYFUNCTION("""COMPUTED_VALUE"""),"BK")</f>
        <v>BK</v>
      </c>
    </row>
    <row r="990" ht="22.5" customHeight="1">
      <c r="A990" s="6">
        <v>989.0</v>
      </c>
      <c r="B990" s="6" t="str">
        <f>IFERROR(__xludf.DUMMYFUNCTION("""COMPUTED_VALUE"""),"Petugas Keselematan dan Kesehatan Kerja")</f>
        <v>Petugas Keselematan dan Kesehatan Kerja</v>
      </c>
      <c r="C990" s="8" t="s">
        <v>22</v>
      </c>
      <c r="F990" s="6" t="str">
        <f>IFERROR(__xludf.DUMMYFUNCTION("""COMPUTED_VALUE"""),"Ananta Novianty")</f>
        <v>Ananta Novianty</v>
      </c>
      <c r="G990" s="6" t="str">
        <f>IFERROR(__xludf.DUMMYFUNCTION("""COMPUTED_VALUE"""),"7405196111030001")</f>
        <v>7405196111030001</v>
      </c>
      <c r="J990" s="7" t="str">
        <f>IFERROR(__xludf.DUMMYFUNCTION("""COMPUTED_VALUE"""),"PEREMPUAN")</f>
        <v>PEREMPUAN</v>
      </c>
      <c r="K990" s="6" t="str">
        <f>IFERROR(__xludf.DUMMYFUNCTION("""COMPUTED_VALUE"""),"Kel. punggaluku")</f>
        <v>Kel. punggaluku</v>
      </c>
      <c r="R990" s="7" t="str">
        <f>IFERROR(__xludf.DUMMYFUNCTION("""COMPUTED_VALUE"""),"K")</f>
        <v>K</v>
      </c>
    </row>
    <row r="991" ht="22.5" customHeight="1">
      <c r="A991" s="6">
        <v>990.0</v>
      </c>
      <c r="B991" s="6" t="str">
        <f>IFERROR(__xludf.DUMMYFUNCTION("""COMPUTED_VALUE"""),"Petugas Keselematan dan Kesehatan Kerja")</f>
        <v>Petugas Keselematan dan Kesehatan Kerja</v>
      </c>
      <c r="C991" s="8" t="s">
        <v>22</v>
      </c>
      <c r="F991" s="6" t="str">
        <f>IFERROR(__xludf.DUMMYFUNCTION("""COMPUTED_VALUE"""),"Nurul Maghfirah")</f>
        <v>Nurul Maghfirah</v>
      </c>
      <c r="G991" s="6" t="str">
        <f>IFERROR(__xludf.DUMMYFUNCTION("""COMPUTED_VALUE"""),"7403034107020206")</f>
        <v>7403034107020206</v>
      </c>
      <c r="J991" s="7" t="str">
        <f>IFERROR(__xludf.DUMMYFUNCTION("""COMPUTED_VALUE"""),"PEREMPUAN")</f>
        <v>PEREMPUAN</v>
      </c>
      <c r="K991" s="6" t="str">
        <f>IFERROR(__xludf.DUMMYFUNCTION("""COMPUTED_VALUE"""),"KEL. WAUMERE")</f>
        <v>KEL. WAUMERE</v>
      </c>
      <c r="R991" s="7" t="str">
        <f>IFERROR(__xludf.DUMMYFUNCTION("""COMPUTED_VALUE"""),"BK")</f>
        <v>BK</v>
      </c>
    </row>
    <row r="992" ht="22.5" customHeight="1">
      <c r="A992" s="6">
        <v>991.0</v>
      </c>
      <c r="B992" s="6" t="str">
        <f>IFERROR(__xludf.DUMMYFUNCTION("""COMPUTED_VALUE"""),"Supervisor Sumber Daya Manusia")</f>
        <v>Supervisor Sumber Daya Manusia</v>
      </c>
      <c r="C992" s="8" t="s">
        <v>22</v>
      </c>
      <c r="F992" s="6" t="str">
        <f>IFERROR(__xludf.DUMMYFUNCTION("""COMPUTED_VALUE"""),"Vito Aldino")</f>
        <v>Vito Aldino</v>
      </c>
      <c r="G992" s="6" t="str">
        <f>IFERROR(__xludf.DUMMYFUNCTION("""COMPUTED_VALUE"""),"7404081211010002")</f>
        <v>7404081211010002</v>
      </c>
      <c r="J992" s="7" t="str">
        <f>IFERROR(__xludf.DUMMYFUNCTION("""COMPUTED_VALUE"""),"LAKI-LAKI")</f>
        <v>LAKI-LAKI</v>
      </c>
      <c r="K992" s="6" t="str">
        <f>IFERROR(__xludf.DUMMYFUNCTION("""COMPUTED_VALUE"""),"BTN Anduonohu Kemilau, Blok E No. 4")</f>
        <v>BTN Anduonohu Kemilau, Blok E No. 4</v>
      </c>
      <c r="R992" s="7" t="str">
        <f>IFERROR(__xludf.DUMMYFUNCTION("""COMPUTED_VALUE"""),"K")</f>
        <v>K</v>
      </c>
    </row>
    <row r="993" ht="22.5" customHeight="1">
      <c r="A993" s="6">
        <v>992.0</v>
      </c>
      <c r="B993" s="6" t="str">
        <f>IFERROR(__xludf.DUMMYFUNCTION("""COMPUTED_VALUE"""),"Supervisor Sumber Daya Manusia")</f>
        <v>Supervisor Sumber Daya Manusia</v>
      </c>
      <c r="C993" s="8" t="s">
        <v>22</v>
      </c>
      <c r="F993" s="6" t="str">
        <f>IFERROR(__xludf.DUMMYFUNCTION("""COMPUTED_VALUE"""),"Afriani Wulandari")</f>
        <v>Afriani Wulandari</v>
      </c>
      <c r="G993" s="6" t="str">
        <f>IFERROR(__xludf.DUMMYFUNCTION("""COMPUTED_VALUE"""),"7405044804030002")</f>
        <v>7405044804030002</v>
      </c>
      <c r="J993" s="7" t="str">
        <f>IFERROR(__xludf.DUMMYFUNCTION("""COMPUTED_VALUE"""),"PEREMPUAN")</f>
        <v>PEREMPUAN</v>
      </c>
      <c r="K993" s="6" t="str">
        <f>IFERROR(__xludf.DUMMYFUNCTION("""COMPUTED_VALUE"""),"Kec. Baruga")</f>
        <v>Kec. Baruga</v>
      </c>
      <c r="R993" s="7" t="str">
        <f>IFERROR(__xludf.DUMMYFUNCTION("""COMPUTED_VALUE"""),"K")</f>
        <v>K</v>
      </c>
    </row>
    <row r="994" ht="22.5" customHeight="1">
      <c r="A994" s="6">
        <v>993.0</v>
      </c>
      <c r="B994" s="6" t="str">
        <f>IFERROR(__xludf.DUMMYFUNCTION("""COMPUTED_VALUE"""),"Supervisor Sumber Daya Manusia")</f>
        <v>Supervisor Sumber Daya Manusia</v>
      </c>
      <c r="C994" s="8" t="s">
        <v>22</v>
      </c>
      <c r="F994" s="6" t="str">
        <f>IFERROR(__xludf.DUMMYFUNCTION("""COMPUTED_VALUE"""),"Mustika Ayu Permata Sari ")</f>
        <v>Mustika Ayu Permata Sari </v>
      </c>
      <c r="G994" s="6">
        <f>IFERROR(__xludf.DUMMYFUNCTION("""COMPUTED_VALUE"""),7.47108507050002E14)</f>
        <v>747108507050002</v>
      </c>
      <c r="J994" s="7" t="str">
        <f>IFERROR(__xludf.DUMMYFUNCTION("""COMPUTED_VALUE"""),"PEREMPUAN")</f>
        <v>PEREMPUAN</v>
      </c>
      <c r="K994" s="6" t="str">
        <f>IFERROR(__xludf.DUMMYFUNCTION("""COMPUTED_VALUE"""),"Jl. Latalambe No.31 ")</f>
        <v>Jl. Latalambe No.31 </v>
      </c>
      <c r="R994" s="7" t="str">
        <f>IFERROR(__xludf.DUMMYFUNCTION("""COMPUTED_VALUE"""),"K")</f>
        <v>K</v>
      </c>
    </row>
    <row r="995" ht="22.5" customHeight="1">
      <c r="A995" s="6">
        <v>994.0</v>
      </c>
      <c r="B995" s="6" t="str">
        <f>IFERROR(__xludf.DUMMYFUNCTION("""COMPUTED_VALUE"""),"Supervisor Sumber Daya Manusia")</f>
        <v>Supervisor Sumber Daya Manusia</v>
      </c>
      <c r="C995" s="8" t="s">
        <v>22</v>
      </c>
      <c r="F995" s="6" t="str">
        <f>IFERROR(__xludf.DUMMYFUNCTION("""COMPUTED_VALUE"""),"Sisna")</f>
        <v>Sisna</v>
      </c>
      <c r="G995" s="6" t="str">
        <f>IFERROR(__xludf.DUMMYFUNCTION("""COMPUTED_VALUE"""),"7404056701030001")</f>
        <v>7404056701030001</v>
      </c>
      <c r="J995" s="7" t="str">
        <f>IFERROR(__xludf.DUMMYFUNCTION("""COMPUTED_VALUE"""),"PEREMPUAN")</f>
        <v>PEREMPUAN</v>
      </c>
      <c r="K995" s="6" t="str">
        <f>IFERROR(__xludf.DUMMYFUNCTION("""COMPUTED_VALUE"""),"Desa Wasilomata, kec. Mawasangka")</f>
        <v>Desa Wasilomata, kec. Mawasangka</v>
      </c>
      <c r="R995" s="7" t="str">
        <f>IFERROR(__xludf.DUMMYFUNCTION("""COMPUTED_VALUE"""),"K")</f>
        <v>K</v>
      </c>
    </row>
    <row r="996" ht="22.5" customHeight="1">
      <c r="A996" s="6">
        <v>995.0</v>
      </c>
      <c r="B996" s="6" t="str">
        <f>IFERROR(__xludf.DUMMYFUNCTION("""COMPUTED_VALUE"""),"Supervisor Sumber Daya Manusia")</f>
        <v>Supervisor Sumber Daya Manusia</v>
      </c>
      <c r="C996" s="8" t="s">
        <v>22</v>
      </c>
      <c r="F996" s="6" t="str">
        <f>IFERROR(__xludf.DUMMYFUNCTION("""COMPUTED_VALUE"""),"Husniati Astuti, S.E")</f>
        <v>Husniati Astuti, S.E</v>
      </c>
      <c r="G996" s="6" t="str">
        <f>IFERROR(__xludf.DUMMYFUNCTION("""COMPUTED_VALUE"""),"7403115108070201")</f>
        <v>7403115108070201</v>
      </c>
      <c r="J996" s="7" t="str">
        <f>IFERROR(__xludf.DUMMYFUNCTION("""COMPUTED_VALUE"""),"PEREMPUAN")</f>
        <v>PEREMPUAN</v>
      </c>
      <c r="K996" s="6" t="str">
        <f>IFERROR(__xludf.DUMMYFUNCTION("""COMPUTED_VALUE"""),"Jl Abdul Kudus RT/RW 001/001, Watonea, Katobu, Kab. Muna, Sulawesi Tenggara ")</f>
        <v>Jl Abdul Kudus RT/RW 001/001, Watonea, Katobu, Kab. Muna, Sulawesi Tenggara </v>
      </c>
      <c r="R996" s="7" t="str">
        <f>IFERROR(__xludf.DUMMYFUNCTION("""COMPUTED_VALUE"""),"K")</f>
        <v>K</v>
      </c>
    </row>
    <row r="997" ht="22.5" customHeight="1">
      <c r="A997" s="6">
        <v>996.0</v>
      </c>
      <c r="B997" s="6" t="str">
        <f>IFERROR(__xludf.DUMMYFUNCTION("""COMPUTED_VALUE"""),"Supervisor Sumber Daya Manusia")</f>
        <v>Supervisor Sumber Daya Manusia</v>
      </c>
      <c r="C997" s="8" t="s">
        <v>22</v>
      </c>
      <c r="F997" s="6" t="str">
        <f>IFERROR(__xludf.DUMMYFUNCTION("""COMPUTED_VALUE"""),"Nur Pausia Salsabila")</f>
        <v>Nur Pausia Salsabila</v>
      </c>
      <c r="G997" s="6" t="str">
        <f>IFERROR(__xludf.DUMMYFUNCTION("""COMPUTED_VALUE"""),"7402195409030002")</f>
        <v>7402195409030002</v>
      </c>
      <c r="J997" s="7" t="str">
        <f>IFERROR(__xludf.DUMMYFUNCTION("""COMPUTED_VALUE"""),"PEREMPUAN")</f>
        <v>PEREMPUAN</v>
      </c>
      <c r="K997" s="6" t="str">
        <f>IFERROR(__xludf.DUMMYFUNCTION("""COMPUTED_VALUE"""),"Desa Tobimeita, Kecamatan Wonggeduku Barat, Kabupaten Konawe")</f>
        <v>Desa Tobimeita, Kecamatan Wonggeduku Barat, Kabupaten Konawe</v>
      </c>
      <c r="R997" s="7" t="str">
        <f>IFERROR(__xludf.DUMMYFUNCTION("""COMPUTED_VALUE"""),"K")</f>
        <v>K</v>
      </c>
    </row>
    <row r="998" ht="22.5" customHeight="1">
      <c r="A998" s="6">
        <v>997.0</v>
      </c>
      <c r="B998" s="6" t="str">
        <f>IFERROR(__xludf.DUMMYFUNCTION("""COMPUTED_VALUE"""),"Merias Wajah")</f>
        <v>Merias Wajah</v>
      </c>
      <c r="C998" s="8" t="s">
        <v>22</v>
      </c>
      <c r="F998" s="6" t="str">
        <f>IFERROR(__xludf.DUMMYFUNCTION("""COMPUTED_VALUE"""),"Alfira Rusmaya Bin Hamid")</f>
        <v>Alfira Rusmaya Bin Hamid</v>
      </c>
      <c r="G998" s="6" t="str">
        <f>IFERROR(__xludf.DUMMYFUNCTION("""COMPUTED_VALUE"""),"7471044607060001")</f>
        <v>7471044607060001</v>
      </c>
      <c r="J998" s="7" t="str">
        <f>IFERROR(__xludf.DUMMYFUNCTION("""COMPUTED_VALUE"""),"PEREMPUAN")</f>
        <v>PEREMPUAN</v>
      </c>
      <c r="K998" s="6" t="str">
        <f>IFERROR(__xludf.DUMMYFUNCTION("""COMPUTED_VALUE"""),"Kendari, Kec. 38904, PEREMPUAN")</f>
        <v>Kendari, Kec. 38904, PEREMPUAN</v>
      </c>
      <c r="R998" s="7" t="str">
        <f>IFERROR(__xludf.DUMMYFUNCTION("""COMPUTED_VALUE"""),"K")</f>
        <v>K</v>
      </c>
    </row>
    <row r="999" ht="22.5" customHeight="1">
      <c r="A999" s="6">
        <v>998.0</v>
      </c>
      <c r="B999" s="6" t="str">
        <f>IFERROR(__xludf.DUMMYFUNCTION("""COMPUTED_VALUE"""),"Merias Wajah")</f>
        <v>Merias Wajah</v>
      </c>
      <c r="C999" s="8" t="s">
        <v>22</v>
      </c>
      <c r="F999" s="6" t="str">
        <f>IFERROR(__xludf.DUMMYFUNCTION("""COMPUTED_VALUE"""),"Anggi Andriani")</f>
        <v>Anggi Andriani</v>
      </c>
      <c r="G999" s="6" t="str">
        <f>IFERROR(__xludf.DUMMYFUNCTION("""COMPUTED_VALUE"""),"7471064305010001")</f>
        <v>7471064305010001</v>
      </c>
      <c r="J999" s="7" t="str">
        <f>IFERROR(__xludf.DUMMYFUNCTION("""COMPUTED_VALUE"""),"PEREMPUAN")</f>
        <v>PEREMPUAN</v>
      </c>
      <c r="K999" s="6" t="str">
        <f>IFERROR(__xludf.DUMMYFUNCTION("""COMPUTED_VALUE"""),"Abeli, Kec. 36944, PEREMPUAN")</f>
        <v>Abeli, Kec. 36944, PEREMPUAN</v>
      </c>
      <c r="R999" s="7" t="str">
        <f>IFERROR(__xludf.DUMMYFUNCTION("""COMPUTED_VALUE"""),"K")</f>
        <v>K</v>
      </c>
    </row>
    <row r="1000" ht="22.5" customHeight="1">
      <c r="A1000" s="6">
        <v>999.0</v>
      </c>
      <c r="B1000" s="6" t="str">
        <f>IFERROR(__xludf.DUMMYFUNCTION("""COMPUTED_VALUE"""),"Merias Wajah")</f>
        <v>Merias Wajah</v>
      </c>
      <c r="C1000" s="8" t="s">
        <v>22</v>
      </c>
      <c r="F1000" s="6" t="str">
        <f>IFERROR(__xludf.DUMMYFUNCTION("""COMPUTED_VALUE"""),"Artiani")</f>
        <v>Artiani</v>
      </c>
      <c r="G1000" s="6" t="str">
        <f>IFERROR(__xludf.DUMMYFUNCTION("""COMPUTED_VALUE"""),"7471064407030001")</f>
        <v>7471064407030001</v>
      </c>
      <c r="J1000" s="7" t="str">
        <f>IFERROR(__xludf.DUMMYFUNCTION("""COMPUTED_VALUE"""),"PEREMPUAN")</f>
        <v>PEREMPUAN</v>
      </c>
      <c r="K1000" s="6" t="str">
        <f>IFERROR(__xludf.DUMMYFUNCTION("""COMPUTED_VALUE"""),"Abeli, Kec. 37719, PEREMPUAN")</f>
        <v>Abeli, Kec. 37719, PEREMPUAN</v>
      </c>
      <c r="R1000" s="7" t="str">
        <f>IFERROR(__xludf.DUMMYFUNCTION("""COMPUTED_VALUE"""),"K")</f>
        <v>K</v>
      </c>
    </row>
    <row r="1001" ht="22.5" customHeight="1">
      <c r="A1001" s="6">
        <v>1000.0</v>
      </c>
      <c r="B1001" s="6" t="str">
        <f>IFERROR(__xludf.DUMMYFUNCTION("""COMPUTED_VALUE"""),"Merias Wajah")</f>
        <v>Merias Wajah</v>
      </c>
      <c r="C1001" s="8" t="s">
        <v>22</v>
      </c>
      <c r="F1001" s="6" t="str">
        <f>IFERROR(__xludf.DUMMYFUNCTION("""COMPUTED_VALUE"""),"Dinda Cahyani")</f>
        <v>Dinda Cahyani</v>
      </c>
      <c r="G1001" s="6" t="str">
        <f>IFERROR(__xludf.DUMMYFUNCTION("""COMPUTED_VALUE"""),"7402054807020002")</f>
        <v>7402054807020002</v>
      </c>
      <c r="J1001" s="7" t="str">
        <f>IFERROR(__xludf.DUMMYFUNCTION("""COMPUTED_VALUE"""),"PEREMPUAN")</f>
        <v>PEREMPUAN</v>
      </c>
      <c r="K1001" s="6" t="str">
        <f>IFERROR(__xludf.DUMMYFUNCTION("""COMPUTED_VALUE"""),"Bao Bao, Kec. 37445, PEREMPUAN")</f>
        <v>Bao Bao, Kec. 37445, PEREMPUAN</v>
      </c>
      <c r="R1001" s="7" t="str">
        <f>IFERROR(__xludf.DUMMYFUNCTION("""COMPUTED_VALUE"""),"K")</f>
        <v>K</v>
      </c>
    </row>
    <row r="1002" ht="22.5" customHeight="1">
      <c r="A1002" s="6">
        <v>1001.0</v>
      </c>
      <c r="B1002" s="6" t="str">
        <f>IFERROR(__xludf.DUMMYFUNCTION("""COMPUTED_VALUE"""),"Merias Wajah")</f>
        <v>Merias Wajah</v>
      </c>
      <c r="C1002" s="8" t="s">
        <v>22</v>
      </c>
      <c r="F1002" s="6" t="str">
        <f>IFERROR(__xludf.DUMMYFUNCTION("""COMPUTED_VALUE"""),"Jelita Silaban")</f>
        <v>Jelita Silaban</v>
      </c>
      <c r="G1002" s="6" t="str">
        <f>IFERROR(__xludf.DUMMYFUNCTION("""COMPUTED_VALUE"""),"7405026102040001")</f>
        <v>7405026102040001</v>
      </c>
      <c r="J1002" s="7" t="str">
        <f>IFERROR(__xludf.DUMMYFUNCTION("""COMPUTED_VALUE"""),"PEREMPUAN")</f>
        <v>PEREMPUAN</v>
      </c>
      <c r="K1002" s="6" t="str">
        <f>IFERROR(__xludf.DUMMYFUNCTION("""COMPUTED_VALUE"""),"Lamoeri, Kec. 38038, PEREMPUAN")</f>
        <v>Lamoeri, Kec. 38038, PEREMPUAN</v>
      </c>
      <c r="R1002" s="7" t="str">
        <f>IFERROR(__xludf.DUMMYFUNCTION("""COMPUTED_VALUE"""),"K")</f>
        <v>K</v>
      </c>
    </row>
    <row r="1003" ht="22.5" customHeight="1">
      <c r="A1003" s="6">
        <v>1002.0</v>
      </c>
      <c r="B1003" s="6" t="str">
        <f>IFERROR(__xludf.DUMMYFUNCTION("""COMPUTED_VALUE"""),"Merias Wajah")</f>
        <v>Merias Wajah</v>
      </c>
      <c r="C1003" s="8" t="s">
        <v>22</v>
      </c>
      <c r="F1003" s="6" t="str">
        <f>IFERROR(__xludf.DUMMYFUNCTION("""COMPUTED_VALUE"""),"Mika Mona")</f>
        <v>Mika Mona</v>
      </c>
      <c r="G1003" s="6" t="str">
        <f>IFERROR(__xludf.DUMMYFUNCTION("""COMPUTED_VALUE"""),"7405115806030002")</f>
        <v>7405115806030002</v>
      </c>
      <c r="J1003" s="7" t="str">
        <f>IFERROR(__xludf.DUMMYFUNCTION("""COMPUTED_VALUE"""),"PEREMPUAN")</f>
        <v>PEREMPUAN</v>
      </c>
      <c r="K1003" s="6" t="str">
        <f>IFERROR(__xludf.DUMMYFUNCTION("""COMPUTED_VALUE"""),"Torombia, Kec. 37790, PEREMPUAN")</f>
        <v>Torombia, Kec. 37790, PEREMPUAN</v>
      </c>
      <c r="R1003" s="7" t="str">
        <f>IFERROR(__xludf.DUMMYFUNCTION("""COMPUTED_VALUE"""),"K")</f>
        <v>K</v>
      </c>
    </row>
    <row r="1004" ht="22.5" customHeight="1">
      <c r="A1004" s="6">
        <v>1003.0</v>
      </c>
      <c r="B1004" s="6" t="str">
        <f>IFERROR(__xludf.DUMMYFUNCTION("""COMPUTED_VALUE"""),"Merias Wajah")</f>
        <v>Merias Wajah</v>
      </c>
      <c r="C1004" s="8" t="s">
        <v>22</v>
      </c>
      <c r="F1004" s="6" t="str">
        <f>IFERROR(__xludf.DUMMYFUNCTION("""COMPUTED_VALUE"""),"Rada Deviana Safitri Al-Hasni")</f>
        <v>Rada Deviana Safitri Al-Hasni</v>
      </c>
      <c r="G1004" s="6" t="str">
        <f>IFERROR(__xludf.DUMMYFUNCTION("""COMPUTED_VALUE"""),"7402036112980002")</f>
        <v>7402036112980002</v>
      </c>
      <c r="J1004" s="7" t="str">
        <f>IFERROR(__xludf.DUMMYFUNCTION("""COMPUTED_VALUE"""),"PEREMPUAN")</f>
        <v>PEREMPUAN</v>
      </c>
      <c r="K1004" s="6" t="str">
        <f>IFERROR(__xludf.DUMMYFUNCTION("""COMPUTED_VALUE"""),"Makassar, Kec. 36150, PEREMPUAN")</f>
        <v>Makassar, Kec. 36150, PEREMPUAN</v>
      </c>
      <c r="R1004" s="7" t="str">
        <f>IFERROR(__xludf.DUMMYFUNCTION("""COMPUTED_VALUE"""),"K")</f>
        <v>K</v>
      </c>
    </row>
    <row r="1005" ht="22.5" customHeight="1">
      <c r="A1005" s="6">
        <v>1004.0</v>
      </c>
      <c r="B1005" s="6" t="str">
        <f>IFERROR(__xludf.DUMMYFUNCTION("""COMPUTED_VALUE"""),"Merias Wajah")</f>
        <v>Merias Wajah</v>
      </c>
      <c r="C1005" s="8" t="s">
        <v>22</v>
      </c>
      <c r="F1005" s="6" t="str">
        <f>IFERROR(__xludf.DUMMYFUNCTION("""COMPUTED_VALUE"""),"Rezky Pebriani Latif")</f>
        <v>Rezky Pebriani Latif</v>
      </c>
      <c r="G1005" s="6" t="str">
        <f>IFERROR(__xludf.DUMMYFUNCTION("""COMPUTED_VALUE"""),"7471016702030002")</f>
        <v>7471016702030002</v>
      </c>
      <c r="J1005" s="7" t="str">
        <f>IFERROR(__xludf.DUMMYFUNCTION("""COMPUTED_VALUE"""),"PEREMPUAN")</f>
        <v>PEREMPUAN</v>
      </c>
      <c r="K1005" s="6" t="str">
        <f>IFERROR(__xludf.DUMMYFUNCTION("""COMPUTED_VALUE"""),"Kendari, Kec. 37679, PEREMPUAN")</f>
        <v>Kendari, Kec. 37679, PEREMPUAN</v>
      </c>
      <c r="R1005" s="7" t="str">
        <f>IFERROR(__xludf.DUMMYFUNCTION("""COMPUTED_VALUE"""),"K")</f>
        <v>K</v>
      </c>
    </row>
    <row r="1006" ht="22.5" customHeight="1">
      <c r="A1006" s="6">
        <v>1005.0</v>
      </c>
      <c r="B1006" s="6" t="str">
        <f>IFERROR(__xludf.DUMMYFUNCTION("""COMPUTED_VALUE"""),"Merias Wajah")</f>
        <v>Merias Wajah</v>
      </c>
      <c r="C1006" s="8" t="s">
        <v>22</v>
      </c>
      <c r="F1006" s="6" t="str">
        <f>IFERROR(__xludf.DUMMYFUNCTION("""COMPUTED_VALUE"""),"Syarifah Ananda Putri")</f>
        <v>Syarifah Ananda Putri</v>
      </c>
      <c r="G1006" s="6" t="str">
        <f>IFERROR(__xludf.DUMMYFUNCTION("""COMPUTED_VALUE"""),"7471066209030002")</f>
        <v>7471066209030002</v>
      </c>
      <c r="J1006" s="7" t="str">
        <f>IFERROR(__xludf.DUMMYFUNCTION("""COMPUTED_VALUE"""),"PEREMPUAN")</f>
        <v>PEREMPUAN</v>
      </c>
      <c r="K1006" s="6" t="str">
        <f>IFERROR(__xludf.DUMMYFUNCTION("""COMPUTED_VALUE"""),"Sambuli, Kec. 37509, PEREMPUAN")</f>
        <v>Sambuli, Kec. 37509, PEREMPUAN</v>
      </c>
      <c r="R1006" s="7" t="str">
        <f>IFERROR(__xludf.DUMMYFUNCTION("""COMPUTED_VALUE"""),"K")</f>
        <v>K</v>
      </c>
    </row>
    <row r="1007" ht="22.5" customHeight="1">
      <c r="A1007" s="6">
        <v>1006.0</v>
      </c>
      <c r="B1007" s="6" t="str">
        <f>IFERROR(__xludf.DUMMYFUNCTION("""COMPUTED_VALUE"""),"Merias Wajah")</f>
        <v>Merias Wajah</v>
      </c>
      <c r="C1007" s="8" t="s">
        <v>22</v>
      </c>
      <c r="F1007" s="6" t="str">
        <f>IFERROR(__xludf.DUMMYFUNCTION("""COMPUTED_VALUE"""),"Tiara Wardani")</f>
        <v>Tiara Wardani</v>
      </c>
      <c r="G1007" s="6" t="str">
        <f>IFERROR(__xludf.DUMMYFUNCTION("""COMPUTED_VALUE"""),"740311603980201")</f>
        <v>740311603980201</v>
      </c>
      <c r="J1007" s="7" t="str">
        <f>IFERROR(__xludf.DUMMYFUNCTION("""COMPUTED_VALUE"""),"PEREMPUAN")</f>
        <v>PEREMPUAN</v>
      </c>
      <c r="K1007" s="6" t="str">
        <f>IFERROR(__xludf.DUMMYFUNCTION("""COMPUTED_VALUE"""),"Raha, Kec. 35877, PEREMPUAN")</f>
        <v>Raha, Kec. 35877, PEREMPUAN</v>
      </c>
      <c r="R1007" s="7" t="str">
        <f>IFERROR(__xludf.DUMMYFUNCTION("""COMPUTED_VALUE"""),"K")</f>
        <v>K</v>
      </c>
    </row>
    <row r="1008" ht="22.5" customHeight="1">
      <c r="A1008" s="6">
        <v>1007.0</v>
      </c>
      <c r="B1008" s="6" t="str">
        <f>IFERROR(__xludf.DUMMYFUNCTION("""COMPUTED_VALUE"""),"Merias Wajah")</f>
        <v>Merias Wajah</v>
      </c>
      <c r="C1008" s="8" t="s">
        <v>22</v>
      </c>
      <c r="F1008" s="6" t="str">
        <f>IFERROR(__xludf.DUMMYFUNCTION("""COMPUTED_VALUE"""),"Ambar Wati")</f>
        <v>Ambar Wati</v>
      </c>
      <c r="G1008" s="6" t="str">
        <f>IFERROR(__xludf.DUMMYFUNCTION("""COMPUTED_VALUE"""),"7405046610880001")</f>
        <v>7405046610880001</v>
      </c>
      <c r="J1008" s="7" t="str">
        <f>IFERROR(__xludf.DUMMYFUNCTION("""COMPUTED_VALUE"""),"PEREMPUAN")</f>
        <v>PEREMPUAN</v>
      </c>
      <c r="K1008" s="6" t="str">
        <f>IFERROR(__xludf.DUMMYFUNCTION("""COMPUTED_VALUE"""),"Desa Wawouru Kec. Palangga Selatan ")</f>
        <v>Desa Wawouru Kec. Palangga Selatan </v>
      </c>
      <c r="R1008" s="7" t="str">
        <f>IFERROR(__xludf.DUMMYFUNCTION("""COMPUTED_VALUE"""),"K")</f>
        <v>K</v>
      </c>
    </row>
    <row r="1009" ht="22.5" customHeight="1">
      <c r="A1009" s="6">
        <v>1008.0</v>
      </c>
      <c r="B1009" s="6" t="str">
        <f>IFERROR(__xludf.DUMMYFUNCTION("""COMPUTED_VALUE"""),"Merias Wajah")</f>
        <v>Merias Wajah</v>
      </c>
      <c r="C1009" s="8" t="s">
        <v>22</v>
      </c>
      <c r="F1009" s="6" t="str">
        <f>IFERROR(__xludf.DUMMYFUNCTION("""COMPUTED_VALUE"""),"Aulia Ayu Pika Nanda")</f>
        <v>Aulia Ayu Pika Nanda</v>
      </c>
      <c r="G1009" s="6" t="str">
        <f>IFERROR(__xludf.DUMMYFUNCTION("""COMPUTED_VALUE"""),"7405196401060001")</f>
        <v>7405196401060001</v>
      </c>
      <c r="J1009" s="7" t="str">
        <f>IFERROR(__xludf.DUMMYFUNCTION("""COMPUTED_VALUE"""),"PEREMPUAN")</f>
        <v>PEREMPUAN</v>
      </c>
      <c r="K1009" s="6" t="str">
        <f>IFERROR(__xludf.DUMMYFUNCTION("""COMPUTED_VALUE"""),"Kel. Ambalodangge Kec. Laeya ")</f>
        <v>Kel. Ambalodangge Kec. Laeya </v>
      </c>
      <c r="R1009" s="7" t="str">
        <f>IFERROR(__xludf.DUMMYFUNCTION("""COMPUTED_VALUE"""),"K")</f>
        <v>K</v>
      </c>
    </row>
    <row r="1010" ht="22.5" customHeight="1">
      <c r="A1010" s="6">
        <v>1009.0</v>
      </c>
      <c r="B1010" s="6" t="str">
        <f>IFERROR(__xludf.DUMMYFUNCTION("""COMPUTED_VALUE"""),"Merias Wajah")</f>
        <v>Merias Wajah</v>
      </c>
      <c r="C1010" s="8" t="s">
        <v>22</v>
      </c>
      <c r="F1010" s="6" t="str">
        <f>IFERROR(__xludf.DUMMYFUNCTION("""COMPUTED_VALUE"""),"Ayu Wulandari")</f>
        <v>Ayu Wulandari</v>
      </c>
      <c r="G1010" s="6" t="str">
        <f>IFERROR(__xludf.DUMMYFUNCTION("""COMPUTED_VALUE"""),"7405195602970001")</f>
        <v>7405195602970001</v>
      </c>
      <c r="J1010" s="7" t="str">
        <f>IFERROR(__xludf.DUMMYFUNCTION("""COMPUTED_VALUE"""),"PEREMPUAN")</f>
        <v>PEREMPUAN</v>
      </c>
      <c r="K1010" s="6" t="str">
        <f>IFERROR(__xludf.DUMMYFUNCTION("""COMPUTED_VALUE"""),"Desa Lerepako Kec. Laeya ")</f>
        <v>Desa Lerepako Kec. Laeya </v>
      </c>
      <c r="R1010" s="7" t="str">
        <f>IFERROR(__xludf.DUMMYFUNCTION("""COMPUTED_VALUE"""),"K")</f>
        <v>K</v>
      </c>
    </row>
    <row r="1011" ht="22.5" customHeight="1">
      <c r="A1011" s="6">
        <v>1010.0</v>
      </c>
      <c r="B1011" s="6" t="str">
        <f>IFERROR(__xludf.DUMMYFUNCTION("""COMPUTED_VALUE"""),"Merias Wajah")</f>
        <v>Merias Wajah</v>
      </c>
      <c r="C1011" s="8" t="s">
        <v>22</v>
      </c>
      <c r="F1011" s="6" t="str">
        <f>IFERROR(__xludf.DUMMYFUNCTION("""COMPUTED_VALUE"""),"Chici Fatmala Dewi")</f>
        <v>Chici Fatmala Dewi</v>
      </c>
      <c r="G1011" s="6" t="str">
        <f>IFERROR(__xludf.DUMMYFUNCTION("""COMPUTED_VALUE"""),"7405196605040001")</f>
        <v>7405196605040001</v>
      </c>
      <c r="J1011" s="7" t="str">
        <f>IFERROR(__xludf.DUMMYFUNCTION("""COMPUTED_VALUE"""),"PEREMPUAN")</f>
        <v>PEREMPUAN</v>
      </c>
      <c r="K1011" s="6" t="str">
        <f>IFERROR(__xludf.DUMMYFUNCTION("""COMPUTED_VALUE"""),"Kel. Punggaluku Kec. Laeya")</f>
        <v>Kel. Punggaluku Kec. Laeya</v>
      </c>
      <c r="R1011" s="7" t="str">
        <f>IFERROR(__xludf.DUMMYFUNCTION("""COMPUTED_VALUE"""),"K")</f>
        <v>K</v>
      </c>
    </row>
    <row r="1012" ht="22.5" customHeight="1">
      <c r="A1012" s="6">
        <v>1011.0</v>
      </c>
      <c r="B1012" s="6" t="str">
        <f>IFERROR(__xludf.DUMMYFUNCTION("""COMPUTED_VALUE"""),"Merias Wajah")</f>
        <v>Merias Wajah</v>
      </c>
      <c r="C1012" s="8" t="s">
        <v>22</v>
      </c>
      <c r="F1012" s="6" t="str">
        <f>IFERROR(__xludf.DUMMYFUNCTION("""COMPUTED_VALUE"""),"Cindy Ayu Rahmadany")</f>
        <v>Cindy Ayu Rahmadany</v>
      </c>
      <c r="G1012" s="6" t="str">
        <f>IFERROR(__xludf.DUMMYFUNCTION("""COMPUTED_VALUE"""),"7405196505000002")</f>
        <v>7405196505000002</v>
      </c>
      <c r="J1012" s="7" t="str">
        <f>IFERROR(__xludf.DUMMYFUNCTION("""COMPUTED_VALUE"""),"PEREMPUAN")</f>
        <v>PEREMPUAN</v>
      </c>
      <c r="K1012" s="6" t="str">
        <f>IFERROR(__xludf.DUMMYFUNCTION("""COMPUTED_VALUE"""),"Kel. Punggaluku Kec. Laeya")</f>
        <v>Kel. Punggaluku Kec. Laeya</v>
      </c>
      <c r="R1012" s="7" t="str">
        <f>IFERROR(__xludf.DUMMYFUNCTION("""COMPUTED_VALUE"""),"K")</f>
        <v>K</v>
      </c>
    </row>
    <row r="1013" ht="22.5" customHeight="1">
      <c r="A1013" s="6">
        <v>1012.0</v>
      </c>
      <c r="B1013" s="6" t="str">
        <f>IFERROR(__xludf.DUMMYFUNCTION("""COMPUTED_VALUE"""),"Merias Wajah")</f>
        <v>Merias Wajah</v>
      </c>
      <c r="C1013" s="8" t="s">
        <v>22</v>
      </c>
      <c r="F1013" s="6" t="str">
        <f>IFERROR(__xludf.DUMMYFUNCTION("""COMPUTED_VALUE"""),"Dwi Indah Prasetyani")</f>
        <v>Dwi Indah Prasetyani</v>
      </c>
      <c r="G1013" s="6" t="str">
        <f>IFERROR(__xludf.DUMMYFUNCTION("""COMPUTED_VALUE"""),"7405194107020014")</f>
        <v>7405194107020014</v>
      </c>
      <c r="J1013" s="7" t="str">
        <f>IFERROR(__xludf.DUMMYFUNCTION("""COMPUTED_VALUE"""),"PEREMPUAN")</f>
        <v>PEREMPUAN</v>
      </c>
      <c r="K1013" s="6" t="str">
        <f>IFERROR(__xludf.DUMMYFUNCTION("""COMPUTED_VALUE"""),"Desa Lambakara Kec. Laeya ")</f>
        <v>Desa Lambakara Kec. Laeya </v>
      </c>
      <c r="R1013" s="7" t="str">
        <f>IFERROR(__xludf.DUMMYFUNCTION("""COMPUTED_VALUE"""),"K")</f>
        <v>K</v>
      </c>
    </row>
    <row r="1014" ht="22.5" customHeight="1">
      <c r="A1014" s="6">
        <v>1013.0</v>
      </c>
      <c r="B1014" s="6" t="str">
        <f>IFERROR(__xludf.DUMMYFUNCTION("""COMPUTED_VALUE"""),"Merias Wajah")</f>
        <v>Merias Wajah</v>
      </c>
      <c r="C1014" s="8" t="s">
        <v>22</v>
      </c>
      <c r="F1014" s="6" t="str">
        <f>IFERROR(__xludf.DUMMYFUNCTION("""COMPUTED_VALUE"""),"Fransiska Aulia")</f>
        <v>Fransiska Aulia</v>
      </c>
      <c r="G1014" s="6" t="str">
        <f>IFERROR(__xludf.DUMMYFUNCTION("""COMPUTED_VALUE"""),"7405045702080001")</f>
        <v>7405045702080001</v>
      </c>
      <c r="J1014" s="7" t="str">
        <f>IFERROR(__xludf.DUMMYFUNCTION("""COMPUTED_VALUE"""),"PEREMPUAN")</f>
        <v>PEREMPUAN</v>
      </c>
      <c r="K1014" s="6" t="str">
        <f>IFERROR(__xludf.DUMMYFUNCTION("""COMPUTED_VALUE"""),"Desa Anggondara Kec. Palangga ")</f>
        <v>Desa Anggondara Kec. Palangga </v>
      </c>
      <c r="R1014" s="7" t="str">
        <f>IFERROR(__xludf.DUMMYFUNCTION("""COMPUTED_VALUE"""),"K")</f>
        <v>K</v>
      </c>
    </row>
    <row r="1015" ht="22.5" customHeight="1">
      <c r="A1015" s="6">
        <v>1014.0</v>
      </c>
      <c r="B1015" s="6" t="str">
        <f>IFERROR(__xludf.DUMMYFUNCTION("""COMPUTED_VALUE"""),"Merias Wajah")</f>
        <v>Merias Wajah</v>
      </c>
      <c r="C1015" s="8" t="s">
        <v>22</v>
      </c>
      <c r="F1015" s="6" t="str">
        <f>IFERROR(__xludf.DUMMYFUNCTION("""COMPUTED_VALUE"""),"Ice Yustika")</f>
        <v>Ice Yustika</v>
      </c>
      <c r="G1015" s="6" t="str">
        <f>IFERROR(__xludf.DUMMYFUNCTION("""COMPUTED_VALUE"""),"7405194912010001")</f>
        <v>7405194912010001</v>
      </c>
      <c r="J1015" s="7" t="str">
        <f>IFERROR(__xludf.DUMMYFUNCTION("""COMPUTED_VALUE"""),"PEREMPUAN")</f>
        <v>PEREMPUAN</v>
      </c>
      <c r="K1015" s="6" t="str">
        <f>IFERROR(__xludf.DUMMYFUNCTION("""COMPUTED_VALUE"""),"Desa Buke Kec. Buke ")</f>
        <v>Desa Buke Kec. Buke </v>
      </c>
      <c r="R1015" s="7" t="str">
        <f>IFERROR(__xludf.DUMMYFUNCTION("""COMPUTED_VALUE"""),"K")</f>
        <v>K</v>
      </c>
    </row>
    <row r="1016" ht="22.5" customHeight="1">
      <c r="A1016" s="6">
        <v>1015.0</v>
      </c>
      <c r="B1016" s="6" t="str">
        <f>IFERROR(__xludf.DUMMYFUNCTION("""COMPUTED_VALUE"""),"Merias Wajah")</f>
        <v>Merias Wajah</v>
      </c>
      <c r="C1016" s="8" t="s">
        <v>22</v>
      </c>
      <c r="F1016" s="6" t="str">
        <f>IFERROR(__xludf.DUMMYFUNCTION("""COMPUTED_VALUE"""),"Marsa Wulandari")</f>
        <v>Marsa Wulandari</v>
      </c>
      <c r="G1016" s="6" t="str">
        <f>IFERROR(__xludf.DUMMYFUNCTION("""COMPUTED_VALUE"""),"7405064103060001")</f>
        <v>7405064103060001</v>
      </c>
      <c r="J1016" s="7" t="str">
        <f>IFERROR(__xludf.DUMMYFUNCTION("""COMPUTED_VALUE"""),"PEREMPUAN")</f>
        <v>PEREMPUAN</v>
      </c>
      <c r="K1016" s="6" t="str">
        <f>IFERROR(__xludf.DUMMYFUNCTION("""COMPUTED_VALUE"""),"Desa Aoreo Kec. Lainea ")</f>
        <v>Desa Aoreo Kec. Lainea </v>
      </c>
      <c r="R1016" s="7" t="str">
        <f>IFERROR(__xludf.DUMMYFUNCTION("""COMPUTED_VALUE"""),"K")</f>
        <v>K</v>
      </c>
    </row>
    <row r="1017" ht="22.5" customHeight="1">
      <c r="A1017" s="6">
        <v>1016.0</v>
      </c>
      <c r="B1017" s="6" t="str">
        <f>IFERROR(__xludf.DUMMYFUNCTION("""COMPUTED_VALUE"""),"Merias Wajah")</f>
        <v>Merias Wajah</v>
      </c>
      <c r="C1017" s="8" t="s">
        <v>22</v>
      </c>
      <c r="F1017" s="6" t="str">
        <f>IFERROR(__xludf.DUMMYFUNCTION("""COMPUTED_VALUE"""),"Mirnayanti")</f>
        <v>Mirnayanti</v>
      </c>
      <c r="G1017" s="6" t="str">
        <f>IFERROR(__xludf.DUMMYFUNCTION("""COMPUTED_VALUE"""),"7405194107860030")</f>
        <v>7405194107860030</v>
      </c>
      <c r="J1017" s="7" t="str">
        <f>IFERROR(__xludf.DUMMYFUNCTION("""COMPUTED_VALUE"""),"PEREMPUAN")</f>
        <v>PEREMPUAN</v>
      </c>
      <c r="K1017" s="6" t="str">
        <f>IFERROR(__xludf.DUMMYFUNCTION("""COMPUTED_VALUE"""),"Desa Lambakara Kec. Laeya ")</f>
        <v>Desa Lambakara Kec. Laeya </v>
      </c>
      <c r="R1017" s="7" t="str">
        <f>IFERROR(__xludf.DUMMYFUNCTION("""COMPUTED_VALUE"""),"K")</f>
        <v>K</v>
      </c>
    </row>
    <row r="1018" ht="22.5" customHeight="1">
      <c r="A1018" s="6">
        <v>1017.0</v>
      </c>
      <c r="B1018" s="6" t="str">
        <f>IFERROR(__xludf.DUMMYFUNCTION("""COMPUTED_VALUE"""),"Merias Wajah")</f>
        <v>Merias Wajah</v>
      </c>
      <c r="C1018" s="8" t="s">
        <v>22</v>
      </c>
      <c r="F1018" s="6" t="str">
        <f>IFERROR(__xludf.DUMMYFUNCTION("""COMPUTED_VALUE"""),"Sari Izzanty")</f>
        <v>Sari Izzanty</v>
      </c>
      <c r="G1018" s="6" t="str">
        <f>IFERROR(__xludf.DUMMYFUNCTION("""COMPUTED_VALUE"""),"7405045809890001")</f>
        <v>7405045809890001</v>
      </c>
      <c r="J1018" s="7" t="str">
        <f>IFERROR(__xludf.DUMMYFUNCTION("""COMPUTED_VALUE"""),"PEREMPUAN")</f>
        <v>PEREMPUAN</v>
      </c>
      <c r="K1018" s="6" t="str">
        <f>IFERROR(__xludf.DUMMYFUNCTION("""COMPUTED_VALUE"""),"Desa Anggondara Kec. Palangga ")</f>
        <v>Desa Anggondara Kec. Palangga </v>
      </c>
      <c r="R1018" s="7" t="str">
        <f>IFERROR(__xludf.DUMMYFUNCTION("""COMPUTED_VALUE"""),"K")</f>
        <v>K</v>
      </c>
    </row>
    <row r="1019" ht="22.5" customHeight="1">
      <c r="A1019" s="6">
        <v>1018.0</v>
      </c>
      <c r="B1019" s="6" t="str">
        <f>IFERROR(__xludf.DUMMYFUNCTION("""COMPUTED_VALUE"""),"Merias Wajah")</f>
        <v>Merias Wajah</v>
      </c>
      <c r="C1019" s="8" t="s">
        <v>22</v>
      </c>
      <c r="F1019" s="6" t="str">
        <f>IFERROR(__xludf.DUMMYFUNCTION("""COMPUTED_VALUE"""),"Shilmi Pebrina Syarif")</f>
        <v>Shilmi Pebrina Syarif</v>
      </c>
      <c r="G1019" s="6" t="str">
        <f>IFERROR(__xludf.DUMMYFUNCTION("""COMPUTED_VALUE"""),"7405190502060001")</f>
        <v>7405190502060001</v>
      </c>
      <c r="J1019" s="7" t="str">
        <f>IFERROR(__xludf.DUMMYFUNCTION("""COMPUTED_VALUE"""),"LAKI-LAKI")</f>
        <v>LAKI-LAKI</v>
      </c>
      <c r="K1019" s="6" t="str">
        <f>IFERROR(__xludf.DUMMYFUNCTION("""COMPUTED_VALUE"""),"Desa Ambesea Kec. Laeya ")</f>
        <v>Desa Ambesea Kec. Laeya </v>
      </c>
      <c r="R1019" s="7" t="str">
        <f>IFERROR(__xludf.DUMMYFUNCTION("""COMPUTED_VALUE"""),"K")</f>
        <v>K</v>
      </c>
    </row>
    <row r="1020" ht="22.5" customHeight="1">
      <c r="A1020" s="6">
        <v>1019.0</v>
      </c>
      <c r="B1020" s="6" t="str">
        <f>IFERROR(__xludf.DUMMYFUNCTION("""COMPUTED_VALUE"""),"Merias Wajah")</f>
        <v>Merias Wajah</v>
      </c>
      <c r="C1020" s="8" t="s">
        <v>22</v>
      </c>
      <c r="F1020" s="6" t="str">
        <f>IFERROR(__xludf.DUMMYFUNCTION("""COMPUTED_VALUE"""),"Siti Mahmudah")</f>
        <v>Siti Mahmudah</v>
      </c>
      <c r="G1020" s="6" t="str">
        <f>IFERROR(__xludf.DUMMYFUNCTION("""COMPUTED_VALUE"""),"7405196207760002")</f>
        <v>7405196207760002</v>
      </c>
      <c r="J1020" s="7" t="str">
        <f>IFERROR(__xludf.DUMMYFUNCTION("""COMPUTED_VALUE"""),"PEREMPUAN")</f>
        <v>PEREMPUAN</v>
      </c>
      <c r="K1020" s="6" t="str">
        <f>IFERROR(__xludf.DUMMYFUNCTION("""COMPUTED_VALUE"""),"Desa Lamong Jaya Kec. Laeya ")</f>
        <v>Desa Lamong Jaya Kec. Laeya </v>
      </c>
      <c r="R1020" s="7" t="str">
        <f>IFERROR(__xludf.DUMMYFUNCTION("""COMPUTED_VALUE"""),"K")</f>
        <v>K</v>
      </c>
    </row>
    <row r="1021" ht="22.5" customHeight="1">
      <c r="A1021" s="6">
        <v>1020.0</v>
      </c>
      <c r="B1021" s="6" t="str">
        <f>IFERROR(__xludf.DUMMYFUNCTION("""COMPUTED_VALUE"""),"Merias Wajah")</f>
        <v>Merias Wajah</v>
      </c>
      <c r="C1021" s="8" t="s">
        <v>22</v>
      </c>
      <c r="F1021" s="6" t="str">
        <f>IFERROR(__xludf.DUMMYFUNCTION("""COMPUTED_VALUE"""),"Tugi Nurhidayah")</f>
        <v>Tugi Nurhidayah</v>
      </c>
      <c r="G1021" s="6" t="str">
        <f>IFERROR(__xludf.DUMMYFUNCTION("""COMPUTED_VALUE"""),"7405191005030002")</f>
        <v>7405191005030002</v>
      </c>
      <c r="J1021" s="7" t="str">
        <f>IFERROR(__xludf.DUMMYFUNCTION("""COMPUTED_VALUE"""),"LAKI-LAKI")</f>
        <v>LAKI-LAKI</v>
      </c>
      <c r="K1021" s="6" t="str">
        <f>IFERROR(__xludf.DUMMYFUNCTION("""COMPUTED_VALUE"""),"Desa Lamong Jaya Kec. Laeya ")</f>
        <v>Desa Lamong Jaya Kec. Laeya </v>
      </c>
      <c r="R1021" s="7" t="str">
        <f>IFERROR(__xludf.DUMMYFUNCTION("""COMPUTED_VALUE"""),"K")</f>
        <v>K</v>
      </c>
    </row>
    <row r="1022" ht="22.5" customHeight="1">
      <c r="A1022" s="6">
        <v>1021.0</v>
      </c>
      <c r="B1022" s="6" t="str">
        <f>IFERROR(__xludf.DUMMYFUNCTION("""COMPUTED_VALUE"""),"Merias Wajah")</f>
        <v>Merias Wajah</v>
      </c>
      <c r="C1022" s="8" t="s">
        <v>22</v>
      </c>
      <c r="F1022" s="6" t="str">
        <f>IFERROR(__xludf.DUMMYFUNCTION("""COMPUTED_VALUE"""),"Ulfa Safitri")</f>
        <v>Ulfa Safitri</v>
      </c>
      <c r="G1022" s="6" t="str">
        <f>IFERROR(__xludf.DUMMYFUNCTION("""COMPUTED_VALUE"""),"7405194107860028")</f>
        <v>7405194107860028</v>
      </c>
      <c r="J1022" s="7" t="str">
        <f>IFERROR(__xludf.DUMMYFUNCTION("""COMPUTED_VALUE"""),"PEREMPUAN")</f>
        <v>PEREMPUAN</v>
      </c>
      <c r="K1022" s="6" t="str">
        <f>IFERROR(__xludf.DUMMYFUNCTION("""COMPUTED_VALUE"""),"Desa Lambakara Kec. Laeya ")</f>
        <v>Desa Lambakara Kec. Laeya </v>
      </c>
      <c r="R1022" s="7" t="str">
        <f>IFERROR(__xludf.DUMMYFUNCTION("""COMPUTED_VALUE"""),"K")</f>
        <v>K</v>
      </c>
    </row>
    <row r="1023" ht="22.5" customHeight="1">
      <c r="A1023" s="6">
        <v>1022.0</v>
      </c>
      <c r="B1023" s="6" t="str">
        <f>IFERROR(__xludf.DUMMYFUNCTION("""COMPUTED_VALUE"""),"Merias Wajah")</f>
        <v>Merias Wajah</v>
      </c>
      <c r="C1023" s="8" t="s">
        <v>22</v>
      </c>
      <c r="F1023" s="6" t="str">
        <f>IFERROR(__xludf.DUMMYFUNCTION("""COMPUTED_VALUE"""),"Waliadin")</f>
        <v>Waliadin</v>
      </c>
      <c r="G1023" s="6" t="str">
        <f>IFERROR(__xludf.DUMMYFUNCTION("""COMPUTED_VALUE"""),"7405196805000001")</f>
        <v>7405196805000001</v>
      </c>
      <c r="J1023" s="7" t="str">
        <f>IFERROR(__xludf.DUMMYFUNCTION("""COMPUTED_VALUE"""),"PEREMPUAN")</f>
        <v>PEREMPUAN</v>
      </c>
      <c r="K1023" s="6" t="str">
        <f>IFERROR(__xludf.DUMMYFUNCTION("""COMPUTED_VALUE"""),"Desa Wonua Kongga Kec. Laeya ")</f>
        <v>Desa Wonua Kongga Kec. Laeya </v>
      </c>
      <c r="R1023" s="7" t="str">
        <f>IFERROR(__xludf.DUMMYFUNCTION("""COMPUTED_VALUE"""),"K")</f>
        <v>K</v>
      </c>
    </row>
    <row r="1024" ht="22.5" customHeight="1">
      <c r="A1024" s="6">
        <v>1023.0</v>
      </c>
      <c r="B1024" s="6" t="str">
        <f>IFERROR(__xludf.DUMMYFUNCTION("""COMPUTED_VALUE"""),"Perakitan Komponen Fabrikasi")</f>
        <v>Perakitan Komponen Fabrikasi</v>
      </c>
      <c r="C1024" s="8" t="s">
        <v>22</v>
      </c>
      <c r="F1024" s="6" t="str">
        <f>IFERROR(__xludf.DUMMYFUNCTION("""COMPUTED_VALUE"""),"MUHAMMAD SOBRI SALAM")</f>
        <v>MUHAMMAD SOBRI SALAM</v>
      </c>
      <c r="G1024" s="6" t="str">
        <f>IFERROR(__xludf.DUMMYFUNCTION("""COMPUTED_VALUE"""),"7402040808050001")</f>
        <v>7402040808050001</v>
      </c>
      <c r="J1024" s="7" t="str">
        <f>IFERROR(__xludf.DUMMYFUNCTION("""COMPUTED_VALUE"""),"LAKI-LAKI")</f>
        <v>LAKI-LAKI</v>
      </c>
      <c r="K1024" s="6" t="str">
        <f>IFERROR(__xludf.DUMMYFUNCTION("""COMPUTED_VALUE"""),"LALOIKA")</f>
        <v>LALOIKA</v>
      </c>
      <c r="R1024" s="7" t="str">
        <f>IFERROR(__xludf.DUMMYFUNCTION("""COMPUTED_VALUE"""),"K")</f>
        <v>K</v>
      </c>
    </row>
    <row r="1025" ht="22.5" customHeight="1">
      <c r="A1025" s="6">
        <v>1024.0</v>
      </c>
      <c r="B1025" s="6" t="str">
        <f>IFERROR(__xludf.DUMMYFUNCTION("""COMPUTED_VALUE"""),"Perakitan Komponen Fabrikasi")</f>
        <v>Perakitan Komponen Fabrikasi</v>
      </c>
      <c r="C1025" s="8" t="s">
        <v>22</v>
      </c>
      <c r="F1025" s="6" t="str">
        <f>IFERROR(__xludf.DUMMYFUNCTION("""COMPUTED_VALUE"""),"HENDRIK SAPUTRA")</f>
        <v>HENDRIK SAPUTRA</v>
      </c>
      <c r="G1025" s="6" t="str">
        <f>IFERROR(__xludf.DUMMYFUNCTION("""COMPUTED_VALUE"""),"7401020612950001")</f>
        <v>7401020612950001</v>
      </c>
      <c r="J1025" s="7" t="str">
        <f>IFERROR(__xludf.DUMMYFUNCTION("""COMPUTED_VALUE"""),"LAKI-LAKI")</f>
        <v>LAKI-LAKI</v>
      </c>
      <c r="K1025" s="6" t="str">
        <f>IFERROR(__xludf.DUMMYFUNCTION("""COMPUTED_VALUE"""),"DUSUN.1 DESA.TIRAWUTA KEC.TIRAWUTA")</f>
        <v>DUSUN.1 DESA.TIRAWUTA KEC.TIRAWUTA</v>
      </c>
      <c r="R1025" s="7" t="str">
        <f>IFERROR(__xludf.DUMMYFUNCTION("""COMPUTED_VALUE"""),"K")</f>
        <v>K</v>
      </c>
    </row>
    <row r="1026" ht="22.5" customHeight="1">
      <c r="A1026" s="6">
        <v>1025.0</v>
      </c>
      <c r="B1026" s="6" t="str">
        <f>IFERROR(__xludf.DUMMYFUNCTION("""COMPUTED_VALUE"""),"Perakitan Komponen Fabrikasi")</f>
        <v>Perakitan Komponen Fabrikasi</v>
      </c>
      <c r="C1026" s="8" t="s">
        <v>22</v>
      </c>
      <c r="F1026" s="6" t="str">
        <f>IFERROR(__xludf.DUMMYFUNCTION("""COMPUTED_VALUE"""),"ALHAM")</f>
        <v>ALHAM</v>
      </c>
      <c r="G1026" s="6" t="str">
        <f>IFERROR(__xludf.DUMMYFUNCTION("""COMPUTED_VALUE"""),"7405190407930001")</f>
        <v>7405190407930001</v>
      </c>
      <c r="J1026" s="7" t="str">
        <f>IFERROR(__xludf.DUMMYFUNCTION("""COMPUTED_VALUE"""),"LAKI-LAKI")</f>
        <v>LAKI-LAKI</v>
      </c>
      <c r="K1026" s="6" t="str">
        <f>IFERROR(__xludf.DUMMYFUNCTION("""COMPUTED_VALUE"""),"KEL. PUNGGALUKU 
KEC. LAEYA
KAB. KONSEL")</f>
        <v>KEL. PUNGGALUKU 
KEC. LAEYA
KAB. KONSEL</v>
      </c>
      <c r="R1026" s="7" t="str">
        <f>IFERROR(__xludf.DUMMYFUNCTION("""COMPUTED_VALUE"""),"K")</f>
        <v>K</v>
      </c>
    </row>
    <row r="1027" ht="22.5" customHeight="1">
      <c r="A1027" s="6">
        <v>1026.0</v>
      </c>
      <c r="B1027" s="6" t="str">
        <f>IFERROR(__xludf.DUMMYFUNCTION("""COMPUTED_VALUE"""),"Perakitan Komponen Fabrikasi")</f>
        <v>Perakitan Komponen Fabrikasi</v>
      </c>
      <c r="C1027" s="8" t="s">
        <v>22</v>
      </c>
      <c r="F1027" s="6" t="str">
        <f>IFERROR(__xludf.DUMMYFUNCTION("""COMPUTED_VALUE"""),"MUHAMMAD ALFIN SANDI PRATAMA")</f>
        <v>MUHAMMAD ALFIN SANDI PRATAMA</v>
      </c>
      <c r="G1027" s="6" t="str">
        <f>IFERROR(__xludf.DUMMYFUNCTION("""COMPUTED_VALUE"""),"7405161109040001")</f>
        <v>7405161109040001</v>
      </c>
      <c r="J1027" s="7" t="str">
        <f>IFERROR(__xludf.DUMMYFUNCTION("""COMPUTED_VALUE"""),"LAKI-LAKI")</f>
        <v>LAKI-LAKI</v>
      </c>
      <c r="K1027" s="6" t="str">
        <f>IFERROR(__xludf.DUMMYFUNCTION("""COMPUTED_VALUE"""),"DUSUN 2 RT001/RW001 KEL.SANGGULA KEC. MORAMO UTARA")</f>
        <v>DUSUN 2 RT001/RW001 KEL.SANGGULA KEC. MORAMO UTARA</v>
      </c>
      <c r="R1027" s="7" t="str">
        <f>IFERROR(__xludf.DUMMYFUNCTION("""COMPUTED_VALUE"""),"K")</f>
        <v>K</v>
      </c>
    </row>
    <row r="1028" ht="22.5" customHeight="1">
      <c r="A1028" s="6">
        <v>1027.0</v>
      </c>
      <c r="B1028" s="6" t="str">
        <f>IFERROR(__xludf.DUMMYFUNCTION("""COMPUTED_VALUE"""),"Perakitan Komponen Fabrikasi")</f>
        <v>Perakitan Komponen Fabrikasi</v>
      </c>
      <c r="C1028" s="8" t="s">
        <v>22</v>
      </c>
      <c r="F1028" s="6" t="str">
        <f>IFERROR(__xludf.DUMMYFUNCTION("""COMPUTED_VALUE"""),"MUHAMAD JAKIR")</f>
        <v>MUHAMAD JAKIR</v>
      </c>
      <c r="G1028" s="6" t="str">
        <f>IFERROR(__xludf.DUMMYFUNCTION("""COMPUTED_VALUE"""),"7403251407050001")</f>
        <v>7403251407050001</v>
      </c>
      <c r="J1028" s="7" t="str">
        <f>IFERROR(__xludf.DUMMYFUNCTION("""COMPUTED_VALUE"""),"LAKI-LAKI")</f>
        <v>LAKI-LAKI</v>
      </c>
      <c r="K1028" s="6" t="str">
        <f>IFERROR(__xludf.DUMMYFUNCTION("""COMPUTED_VALUE"""),"KEL.WALAMBENO WITE")</f>
        <v>KEL.WALAMBENO WITE</v>
      </c>
      <c r="R1028" s="7" t="str">
        <f>IFERROR(__xludf.DUMMYFUNCTION("""COMPUTED_VALUE"""),"K")</f>
        <v>K</v>
      </c>
    </row>
    <row r="1029" ht="22.5" customHeight="1">
      <c r="A1029" s="6">
        <v>1028.0</v>
      </c>
      <c r="B1029" s="6" t="str">
        <f>IFERROR(__xludf.DUMMYFUNCTION("""COMPUTED_VALUE"""),"Perakitan Komponen Fabrikasi")</f>
        <v>Perakitan Komponen Fabrikasi</v>
      </c>
      <c r="C1029" s="8" t="s">
        <v>22</v>
      </c>
      <c r="F1029" s="6" t="str">
        <f>IFERROR(__xludf.DUMMYFUNCTION("""COMPUTED_VALUE"""),"ANDI MUH. FAJRIN")</f>
        <v>ANDI MUH. FAJRIN</v>
      </c>
      <c r="G1029" s="6" t="str">
        <f>IFERROR(__xludf.DUMMYFUNCTION("""COMPUTED_VALUE"""),"7402022407030001")</f>
        <v>7402022407030001</v>
      </c>
      <c r="J1029" s="7" t="str">
        <f>IFERROR(__xludf.DUMMYFUNCTION("""COMPUTED_VALUE"""),"LAKI-LAKI")</f>
        <v>LAKI-LAKI</v>
      </c>
      <c r="K1029" s="6" t="str">
        <f>IFERROR(__xludf.DUMMYFUNCTION("""COMPUTED_VALUE"""),"JL.PALUWU, KEL.WAWONGGOLE, KEC.UNAAHA, KAB.KONAWE")</f>
        <v>JL.PALUWU, KEL.WAWONGGOLE, KEC.UNAAHA, KAB.KONAWE</v>
      </c>
      <c r="R1029" s="7" t="str">
        <f>IFERROR(__xludf.DUMMYFUNCTION("""COMPUTED_VALUE"""),"K")</f>
        <v>K</v>
      </c>
    </row>
    <row r="1030" ht="22.5" customHeight="1">
      <c r="A1030" s="6">
        <v>1029.0</v>
      </c>
      <c r="B1030" s="6" t="str">
        <f>IFERROR(__xludf.DUMMYFUNCTION("""COMPUTED_VALUE"""),"Perakitan Komponen Fabrikasi")</f>
        <v>Perakitan Komponen Fabrikasi</v>
      </c>
      <c r="C1030" s="8" t="s">
        <v>22</v>
      </c>
      <c r="F1030" s="6" t="str">
        <f>IFERROR(__xludf.DUMMYFUNCTION("""COMPUTED_VALUE"""),"Fahril Eka Syaputra")</f>
        <v>Fahril Eka Syaputra</v>
      </c>
      <c r="G1030" s="6" t="str">
        <f>IFERROR(__xludf.DUMMYFUNCTION("""COMPUTED_VALUE"""),"7403270601060001")</f>
        <v>7403270601060001</v>
      </c>
      <c r="J1030" s="7" t="str">
        <f>IFERROR(__xludf.DUMMYFUNCTION("""COMPUTED_VALUE"""),"LAKI-LAKI")</f>
        <v>LAKI-LAKI</v>
      </c>
      <c r="K1030" s="6" t="str">
        <f>IFERROR(__xludf.DUMMYFUNCTION("""COMPUTED_VALUE"""),"LAHONTOHE, KEC. TONGKUBO")</f>
        <v>LAHONTOHE, KEC. TONGKUBO</v>
      </c>
      <c r="R1030" s="7" t="str">
        <f>IFERROR(__xludf.DUMMYFUNCTION("""COMPUTED_VALUE"""),"K")</f>
        <v>K</v>
      </c>
    </row>
    <row r="1031" ht="22.5" customHeight="1">
      <c r="A1031" s="6">
        <v>1030.0</v>
      </c>
      <c r="B1031" s="6" t="str">
        <f>IFERROR(__xludf.DUMMYFUNCTION("""COMPUTED_VALUE"""),"Merias Wajah")</f>
        <v>Merias Wajah</v>
      </c>
      <c r="C1031" s="8" t="s">
        <v>22</v>
      </c>
      <c r="F1031" s="6" t="str">
        <f>IFERROR(__xludf.DUMMYFUNCTION("""COMPUTED_VALUE"""),"ST FARAH MADINAH")</f>
        <v>ST FARAH MADINAH</v>
      </c>
      <c r="G1031" s="6" t="str">
        <f>IFERROR(__xludf.DUMMYFUNCTION("""COMPUTED_VALUE"""),"7471046812050004")</f>
        <v>7471046812050004</v>
      </c>
      <c r="J1031" s="7" t="str">
        <f>IFERROR(__xludf.DUMMYFUNCTION("""COMPUTED_VALUE"""),"PEREMPUAN")</f>
        <v>PEREMPUAN</v>
      </c>
      <c r="K1031" s="6" t="str">
        <f>IFERROR(__xludf.DUMMYFUNCTION("""COMPUTED_VALUE"""),"BTN MULTI GRAHA BLOK G/2")</f>
        <v>BTN MULTI GRAHA BLOK G/2</v>
      </c>
      <c r="R1031" s="7" t="str">
        <f>IFERROR(__xludf.DUMMYFUNCTION("""COMPUTED_VALUE"""),"K")</f>
        <v>K</v>
      </c>
    </row>
    <row r="1032" ht="22.5" customHeight="1">
      <c r="A1032" s="6">
        <v>1031.0</v>
      </c>
      <c r="B1032" s="6" t="str">
        <f>IFERROR(__xludf.DUMMYFUNCTION("""COMPUTED_VALUE"""),"Merias Wajah")</f>
        <v>Merias Wajah</v>
      </c>
      <c r="C1032" s="8" t="s">
        <v>22</v>
      </c>
      <c r="F1032" s="6" t="str">
        <f>IFERROR(__xludf.DUMMYFUNCTION("""COMPUTED_VALUE"""),"AYU MEYLIANA")</f>
        <v>AYU MEYLIANA</v>
      </c>
      <c r="G1032" s="6" t="str">
        <f>IFERROR(__xludf.DUMMYFUNCTION("""COMPUTED_VALUE"""),"7471066205980001")</f>
        <v>7471066205980001</v>
      </c>
      <c r="J1032" s="7" t="str">
        <f>IFERROR(__xludf.DUMMYFUNCTION("""COMPUTED_VALUE"""),"PEREMPUAN")</f>
        <v>PEREMPUAN</v>
      </c>
      <c r="K1032" s="6" t="str">
        <f>IFERROR(__xludf.DUMMYFUNCTION("""COMPUTED_VALUE"""),"JL DEWI SARTIKA ANGGOEYA POASIA")</f>
        <v>JL DEWI SARTIKA ANGGOEYA POASIA</v>
      </c>
      <c r="R1032" s="7" t="str">
        <f>IFERROR(__xludf.DUMMYFUNCTION("""COMPUTED_VALUE"""),"K")</f>
        <v>K</v>
      </c>
    </row>
    <row r="1033" ht="22.5" customHeight="1">
      <c r="A1033" s="6">
        <v>1032.0</v>
      </c>
      <c r="B1033" s="6" t="str">
        <f>IFERROR(__xludf.DUMMYFUNCTION("""COMPUTED_VALUE"""),"Merias Wajah")</f>
        <v>Merias Wajah</v>
      </c>
      <c r="C1033" s="8" t="s">
        <v>22</v>
      </c>
      <c r="F1033" s="6" t="str">
        <f>IFERROR(__xludf.DUMMYFUNCTION("""COMPUTED_VALUE"""),"WULANDARI")</f>
        <v>WULANDARI</v>
      </c>
      <c r="G1033" s="6" t="str">
        <f>IFERROR(__xludf.DUMMYFUNCTION("""COMPUTED_VALUE"""),"7406185304080001")</f>
        <v>7406185304080001</v>
      </c>
      <c r="J1033" s="7" t="str">
        <f>IFERROR(__xludf.DUMMYFUNCTION("""COMPUTED_VALUE"""),"PEREMPUAN")</f>
        <v>PEREMPUAN</v>
      </c>
      <c r="K1033" s="6" t="str">
        <f>IFERROR(__xludf.DUMMYFUNCTION("""COMPUTED_VALUE"""),"JL. RUSA")</f>
        <v>JL. RUSA</v>
      </c>
      <c r="R1033" s="7" t="str">
        <f>IFERROR(__xludf.DUMMYFUNCTION("""COMPUTED_VALUE"""),"K")</f>
        <v>K</v>
      </c>
    </row>
    <row r="1034" ht="22.5" customHeight="1">
      <c r="A1034" s="6">
        <v>1033.0</v>
      </c>
      <c r="B1034" s="6" t="str">
        <f>IFERROR(__xludf.DUMMYFUNCTION("""COMPUTED_VALUE"""),"Merias Wajah")</f>
        <v>Merias Wajah</v>
      </c>
      <c r="C1034" s="8" t="s">
        <v>22</v>
      </c>
      <c r="F1034" s="6" t="str">
        <f>IFERROR(__xludf.DUMMYFUNCTION("""COMPUTED_VALUE"""),"AMELIA CAHYANI")</f>
        <v>AMELIA CAHYANI</v>
      </c>
      <c r="G1034" s="6" t="str">
        <f>IFERROR(__xludf.DUMMYFUNCTION("""COMPUTED_VALUE"""),"7405076408080003")</f>
        <v>7405076408080003</v>
      </c>
      <c r="J1034" s="7" t="str">
        <f>IFERROR(__xludf.DUMMYFUNCTION("""COMPUTED_VALUE"""),"PEREMPUAN")</f>
        <v>PEREMPUAN</v>
      </c>
      <c r="K1034" s="6" t="str">
        <f>IFERROR(__xludf.DUMMYFUNCTION("""COMPUTED_VALUE"""),"DESA: ALEBO
RT/RW: 003/002
KECAMATAN: KONDA
")</f>
        <v>DESA: ALEBO
RT/RW: 003/002
KECAMATAN: KONDA
</v>
      </c>
      <c r="R1034" s="7" t="str">
        <f>IFERROR(__xludf.DUMMYFUNCTION("""COMPUTED_VALUE"""),"K")</f>
        <v>K</v>
      </c>
    </row>
    <row r="1035" ht="22.5" customHeight="1">
      <c r="A1035" s="6">
        <v>1034.0</v>
      </c>
      <c r="B1035" s="6" t="str">
        <f>IFERROR(__xludf.DUMMYFUNCTION("""COMPUTED_VALUE"""),"Merias Wajah")</f>
        <v>Merias Wajah</v>
      </c>
      <c r="C1035" s="8" t="s">
        <v>22</v>
      </c>
      <c r="F1035" s="6" t="str">
        <f>IFERROR(__xludf.DUMMYFUNCTION("""COMPUTED_VALUE"""),"INDO RAPPE")</f>
        <v>INDO RAPPE</v>
      </c>
      <c r="G1035" s="6" t="str">
        <f>IFERROR(__xludf.DUMMYFUNCTION("""COMPUTED_VALUE"""),"7401224909920001")</f>
        <v>7401224909920001</v>
      </c>
      <c r="J1035" s="7" t="str">
        <f>IFERROR(__xludf.DUMMYFUNCTION("""COMPUTED_VALUE"""),"PEREMPUAN")</f>
        <v>PEREMPUAN</v>
      </c>
      <c r="K1035" s="6" t="str">
        <f>IFERROR(__xludf.DUMMYFUNCTION("""COMPUTED_VALUE"""),"JLN DR SUTOMO, RT 002 RW 001 KEL. LALODATI KEC. PUUWATU KOTA KENDARI")</f>
        <v>JLN DR SUTOMO, RT 002 RW 001 KEL. LALODATI KEC. PUUWATU KOTA KENDARI</v>
      </c>
      <c r="R1035" s="7" t="str">
        <f>IFERROR(__xludf.DUMMYFUNCTION("""COMPUTED_VALUE"""),"K")</f>
        <v>K</v>
      </c>
    </row>
    <row r="1036" ht="22.5" customHeight="1">
      <c r="A1036" s="6">
        <v>1035.0</v>
      </c>
      <c r="B1036" s="6" t="str">
        <f>IFERROR(__xludf.DUMMYFUNCTION("""COMPUTED_VALUE"""),"Merias Wajah")</f>
        <v>Merias Wajah</v>
      </c>
      <c r="C1036" s="8" t="s">
        <v>22</v>
      </c>
      <c r="F1036" s="6" t="str">
        <f>IFERROR(__xludf.DUMMYFUNCTION("""COMPUTED_VALUE"""),"MAFA SHOLEHA MELISA")</f>
        <v>MAFA SHOLEHA MELISA</v>
      </c>
      <c r="G1036" s="6" t="str">
        <f>IFERROR(__xludf.DUMMYFUNCTION("""COMPUTED_VALUE"""),"7471064306080002")</f>
        <v>7471064306080002</v>
      </c>
      <c r="J1036" s="7" t="str">
        <f>IFERROR(__xludf.DUMMYFUNCTION("""COMPUTED_VALUE"""),"PEREMPUAN")</f>
        <v>PEREMPUAN</v>
      </c>
      <c r="K1036" s="6" t="str">
        <f>IFERROR(__xludf.DUMMYFUNCTION("""COMPUTED_VALUE"""),"JL BAYANGKARA BAHARI")</f>
        <v>JL BAYANGKARA BAHARI</v>
      </c>
      <c r="R1036" s="7" t="str">
        <f>IFERROR(__xludf.DUMMYFUNCTION("""COMPUTED_VALUE"""),"K")</f>
        <v>K</v>
      </c>
    </row>
    <row r="1037" ht="22.5" customHeight="1">
      <c r="A1037" s="6">
        <v>1036.0</v>
      </c>
      <c r="B1037" s="6" t="str">
        <f>IFERROR(__xludf.DUMMYFUNCTION("""COMPUTED_VALUE"""),"Merias Wajah")</f>
        <v>Merias Wajah</v>
      </c>
      <c r="C1037" s="8" t="s">
        <v>22</v>
      </c>
      <c r="F1037" s="6" t="str">
        <f>IFERROR(__xludf.DUMMYFUNCTION("""COMPUTED_VALUE"""),"MIRA ANDRIANI")</f>
        <v>MIRA ANDRIANI</v>
      </c>
      <c r="G1037" s="6" t="str">
        <f>IFERROR(__xludf.DUMMYFUNCTION("""COMPUTED_VALUE"""),"7405085605990001")</f>
        <v>7405085605990001</v>
      </c>
      <c r="J1037" s="7" t="str">
        <f>IFERROR(__xludf.DUMMYFUNCTION("""COMPUTED_VALUE"""),"PEREMPUAN")</f>
        <v>PEREMPUAN</v>
      </c>
      <c r="K1037" s="6" t="str">
        <f>IFERROR(__xludf.DUMMYFUNCTION("""COMPUTED_VALUE"""),"LRG. KAMBOJA, DESA LANGGEA, KEC. RANOMEETO")</f>
        <v>LRG. KAMBOJA, DESA LANGGEA, KEC. RANOMEETO</v>
      </c>
      <c r="R1037" s="7" t="str">
        <f>IFERROR(__xludf.DUMMYFUNCTION("""COMPUTED_VALUE"""),"K")</f>
        <v>K</v>
      </c>
    </row>
    <row r="1038" ht="22.5" customHeight="1">
      <c r="A1038" s="6">
        <v>1037.0</v>
      </c>
      <c r="B1038" s="6" t="str">
        <f>IFERROR(__xludf.DUMMYFUNCTION("""COMPUTED_VALUE"""),"Merias Wajah")</f>
        <v>Merias Wajah</v>
      </c>
      <c r="C1038" s="8" t="s">
        <v>22</v>
      </c>
      <c r="F1038" s="6" t="str">
        <f>IFERROR(__xludf.DUMMYFUNCTION("""COMPUTED_VALUE"""),"UMIYANTI")</f>
        <v>UMIYANTI</v>
      </c>
      <c r="G1038" s="6" t="str">
        <f>IFERROR(__xludf.DUMMYFUNCTION("""COMPUTED_VALUE"""),"7405015603000001")</f>
        <v>7405015603000001</v>
      </c>
      <c r="J1038" s="7" t="str">
        <f>IFERROR(__xludf.DUMMYFUNCTION("""COMPUTED_VALUE"""),"PEREMPUAN")</f>
        <v>PEREMPUAN</v>
      </c>
      <c r="K1038" s="6" t="str">
        <f>IFERROR(__xludf.DUMMYFUNCTION("""COMPUTED_VALUE"""),"MATAMBAWI")</f>
        <v>MATAMBAWI</v>
      </c>
      <c r="R1038" s="7" t="str">
        <f>IFERROR(__xludf.DUMMYFUNCTION("""COMPUTED_VALUE"""),"K")</f>
        <v>K</v>
      </c>
    </row>
    <row r="1039" ht="22.5" customHeight="1">
      <c r="A1039" s="6">
        <v>1038.0</v>
      </c>
      <c r="B1039" s="6" t="str">
        <f>IFERROR(__xludf.DUMMYFUNCTION("""COMPUTED_VALUE"""),"Merias Wajah")</f>
        <v>Merias Wajah</v>
      </c>
      <c r="C1039" s="8" t="s">
        <v>22</v>
      </c>
      <c r="F1039" s="6" t="str">
        <f>IFERROR(__xludf.DUMMYFUNCTION("""COMPUTED_VALUE"""),"RABIATUL DAWYAH")</f>
        <v>RABIATUL DAWYAH</v>
      </c>
      <c r="G1039" s="6" t="str">
        <f>IFERROR(__xludf.DUMMYFUNCTION("""COMPUTED_VALUE"""),"7403195711070001")</f>
        <v>7403195711070001</v>
      </c>
      <c r="J1039" s="7" t="str">
        <f>IFERROR(__xludf.DUMMYFUNCTION("""COMPUTED_VALUE"""),"PEREMPUAN")</f>
        <v>PEREMPUAN</v>
      </c>
      <c r="K1039" s="6" t="str">
        <f>IFERROR(__xludf.DUMMYFUNCTION("""COMPUTED_VALUE"""),"Btn griya asri,lepo lepo indah")</f>
        <v>Btn griya asri,lepo lepo indah</v>
      </c>
      <c r="R1039" s="7" t="str">
        <f>IFERROR(__xludf.DUMMYFUNCTION("""COMPUTED_VALUE"""),"K")</f>
        <v>K</v>
      </c>
    </row>
    <row r="1040" ht="22.5" customHeight="1">
      <c r="A1040" s="6">
        <v>1039.0</v>
      </c>
      <c r="B1040" s="6" t="str">
        <f>IFERROR(__xludf.DUMMYFUNCTION("""COMPUTED_VALUE"""),"Merias Wajah")</f>
        <v>Merias Wajah</v>
      </c>
      <c r="C1040" s="8" t="s">
        <v>22</v>
      </c>
      <c r="F1040" s="6" t="str">
        <f>IFERROR(__xludf.DUMMYFUNCTION("""COMPUTED_VALUE"""),"INES AURELIA AFRIANTI ")</f>
        <v>INES AURELIA AFRIANTI </v>
      </c>
      <c r="G1040" s="6" t="str">
        <f>IFERROR(__xludf.DUMMYFUNCTION("""COMPUTED_VALUE"""),"7405185309010002")</f>
        <v>7405185309010002</v>
      </c>
      <c r="J1040" s="7" t="str">
        <f>IFERROR(__xludf.DUMMYFUNCTION("""COMPUTED_VALUE"""),"PEREMPUAN")</f>
        <v>PEREMPUAN</v>
      </c>
      <c r="K1040" s="6" t="str">
        <f>IFERROR(__xludf.DUMMYFUNCTION("""COMPUTED_VALUE"""),"DESA MATA WOLASI, KEC. WOLASI, KAB. KONAWE SELATAN ")</f>
        <v>DESA MATA WOLASI, KEC. WOLASI, KAB. KONAWE SELATAN </v>
      </c>
      <c r="R1040" s="7" t="str">
        <f>IFERROR(__xludf.DUMMYFUNCTION("""COMPUTED_VALUE"""),"K")</f>
        <v>K</v>
      </c>
    </row>
    <row r="1041" ht="22.5" customHeight="1">
      <c r="A1041" s="6">
        <v>1040.0</v>
      </c>
      <c r="B1041" s="6" t="str">
        <f>IFERROR(__xludf.DUMMYFUNCTION("""COMPUTED_VALUE"""),"Merias Wajah")</f>
        <v>Merias Wajah</v>
      </c>
      <c r="C1041" s="8" t="s">
        <v>22</v>
      </c>
      <c r="F1041" s="6" t="str">
        <f>IFERROR(__xludf.DUMMYFUNCTION("""COMPUTED_VALUE"""),"NELSY PAMARU' ")</f>
        <v>NELSY PAMARU' </v>
      </c>
      <c r="G1041" s="6" t="str">
        <f>IFERROR(__xludf.DUMMYFUNCTION("""COMPUTED_VALUE"""),"7318125305080003")</f>
        <v>7318125305080003</v>
      </c>
      <c r="J1041" s="7" t="str">
        <f>IFERROR(__xludf.DUMMYFUNCTION("""COMPUTED_VALUE"""),"PEREMPUAN")</f>
        <v>PEREMPUAN</v>
      </c>
      <c r="K1041" s="6" t="str">
        <f>IFERROR(__xludf.DUMMYFUNCTION("""COMPUTED_VALUE"""),"JLN. BANDA ")</f>
        <v>JLN. BANDA </v>
      </c>
      <c r="R1041" s="7" t="str">
        <f>IFERROR(__xludf.DUMMYFUNCTION("""COMPUTED_VALUE"""),"K")</f>
        <v>K</v>
      </c>
    </row>
    <row r="1042" ht="22.5" customHeight="1">
      <c r="A1042" s="6">
        <v>1041.0</v>
      </c>
      <c r="B1042" s="6" t="str">
        <f>IFERROR(__xludf.DUMMYFUNCTION("""COMPUTED_VALUE"""),"Merias Wajah")</f>
        <v>Merias Wajah</v>
      </c>
      <c r="C1042" s="8" t="s">
        <v>22</v>
      </c>
      <c r="F1042" s="6" t="str">
        <f>IFERROR(__xludf.DUMMYFUNCTION("""COMPUTED_VALUE"""),"SITI NUR ASIRA")</f>
        <v>SITI NUR ASIRA</v>
      </c>
      <c r="G1042" s="6" t="str">
        <f>IFERROR(__xludf.DUMMYFUNCTION("""COMPUTED_VALUE"""),"7413085611070001")</f>
        <v>7413085611070001</v>
      </c>
      <c r="J1042" s="7" t="str">
        <f>IFERROR(__xludf.DUMMYFUNCTION("""COMPUTED_VALUE"""),"PEREMPUAN")</f>
        <v>PEREMPUAN</v>
      </c>
      <c r="K1042" s="6" t="str">
        <f>IFERROR(__xludf.DUMMYFUNCTION("""COMPUTED_VALUE"""),"ZELIKA  RESIDENCE")</f>
        <v>ZELIKA  RESIDENCE</v>
      </c>
      <c r="R1042" s="7" t="str">
        <f>IFERROR(__xludf.DUMMYFUNCTION("""COMPUTED_VALUE"""),"K")</f>
        <v>K</v>
      </c>
    </row>
    <row r="1043" ht="22.5" customHeight="1">
      <c r="A1043" s="6">
        <v>1042.0</v>
      </c>
      <c r="B1043" s="6" t="str">
        <f>IFERROR(__xludf.DUMMYFUNCTION("""COMPUTED_VALUE"""),"Merias Wajah")</f>
        <v>Merias Wajah</v>
      </c>
      <c r="C1043" s="8" t="s">
        <v>22</v>
      </c>
      <c r="F1043" s="6" t="str">
        <f>IFERROR(__xludf.DUMMYFUNCTION("""COMPUTED_VALUE"""),"DESTA AYU PRATIWI ")</f>
        <v>DESTA AYU PRATIWI </v>
      </c>
      <c r="G1043" s="6">
        <f>IFERROR(__xludf.DUMMYFUNCTION("""COMPUTED_VALUE"""),7.40507512070002E14)</f>
        <v>740507512070002</v>
      </c>
      <c r="J1043" s="7" t="str">
        <f>IFERROR(__xludf.DUMMYFUNCTION("""COMPUTED_VALUE"""),"PEREMPUAN")</f>
        <v>PEREMPUAN</v>
      </c>
      <c r="K1043" s="6" t="str">
        <f>IFERROR(__xludf.DUMMYFUNCTION("""COMPUTED_VALUE"""),"DESA LAWOILA KECAMATAN KONDA KAB. KONAWE SELATAN ")</f>
        <v>DESA LAWOILA KECAMATAN KONDA KAB. KONAWE SELATAN </v>
      </c>
      <c r="R1043" s="7" t="str">
        <f>IFERROR(__xludf.DUMMYFUNCTION("""COMPUTED_VALUE"""),"K")</f>
        <v>K</v>
      </c>
    </row>
    <row r="1044" ht="22.5" customHeight="1">
      <c r="A1044" s="6">
        <v>1043.0</v>
      </c>
      <c r="B1044" s="6" t="str">
        <f>IFERROR(__xludf.DUMMYFUNCTION("""COMPUTED_VALUE"""),"Merias Wajah")</f>
        <v>Merias Wajah</v>
      </c>
      <c r="C1044" s="8" t="s">
        <v>22</v>
      </c>
      <c r="F1044" s="6" t="str">
        <f>IFERROR(__xludf.DUMMYFUNCTION("""COMPUTED_VALUE"""),"SEPTYA RAHMADANI")</f>
        <v>SEPTYA RAHMADANI</v>
      </c>
      <c r="G1044" s="6" t="str">
        <f>IFERROR(__xludf.DUMMYFUNCTION("""COMPUTED_VALUE"""),"7405176209080001")</f>
        <v>7405176209080001</v>
      </c>
      <c r="J1044" s="7" t="str">
        <f>IFERROR(__xludf.DUMMYFUNCTION("""COMPUTED_VALUE"""),"PEREMPUAN")</f>
        <v>PEREMPUAN</v>
      </c>
      <c r="K1044" s="6" t="str">
        <f>IFERROR(__xludf.DUMMYFUNCTION("""COMPUTED_VALUE"""),"DESA RANOOHA LESTARI")</f>
        <v>DESA RANOOHA LESTARI</v>
      </c>
      <c r="R1044" s="7" t="str">
        <f>IFERROR(__xludf.DUMMYFUNCTION("""COMPUTED_VALUE"""),"K")</f>
        <v>K</v>
      </c>
    </row>
    <row r="1045" ht="22.5" customHeight="1">
      <c r="A1045" s="6">
        <v>1044.0</v>
      </c>
      <c r="B1045" s="6" t="str">
        <f>IFERROR(__xludf.DUMMYFUNCTION("""COMPUTED_VALUE"""),"Merias Wajah")</f>
        <v>Merias Wajah</v>
      </c>
      <c r="C1045" s="8" t="s">
        <v>22</v>
      </c>
      <c r="F1045" s="6" t="str">
        <f>IFERROR(__xludf.DUMMYFUNCTION("""COMPUTED_VALUE"""),"NAYLA ANABELLA PUTRI ")</f>
        <v>NAYLA ANABELLA PUTRI </v>
      </c>
      <c r="G1045" s="6" t="str">
        <f>IFERROR(__xludf.DUMMYFUNCTION("""COMPUTED_VALUE"""),"7405176506080001")</f>
        <v>7405176506080001</v>
      </c>
      <c r="J1045" s="7" t="str">
        <f>IFERROR(__xludf.DUMMYFUNCTION("""COMPUTED_VALUE"""),"PEREMPUAN")</f>
        <v>PEREMPUAN</v>
      </c>
      <c r="K1045" s="6" t="str">
        <f>IFERROR(__xludf.DUMMYFUNCTION("""COMPUTED_VALUE"""),"ANDOOLO UTAMA ")</f>
        <v>ANDOOLO UTAMA </v>
      </c>
      <c r="R1045" s="7" t="str">
        <f>IFERROR(__xludf.DUMMYFUNCTION("""COMPUTED_VALUE"""),"K")</f>
        <v>K</v>
      </c>
    </row>
    <row r="1046" ht="22.5" customHeight="1">
      <c r="A1046" s="6">
        <v>1045.0</v>
      </c>
      <c r="B1046" s="6" t="str">
        <f>IFERROR(__xludf.DUMMYFUNCTION("""COMPUTED_VALUE"""),"Penyusunan Laporan Keuangan Untuk Pemula")</f>
        <v>Penyusunan Laporan Keuangan Untuk Pemula</v>
      </c>
      <c r="F1046" s="6" t="str">
        <f>IFERROR(__xludf.DUMMYFUNCTION("""COMPUTED_VALUE"""),"Husniatin")</f>
        <v>Husniatin</v>
      </c>
      <c r="G1046" s="6" t="str">
        <f>IFERROR(__xludf.DUMMYFUNCTION("""COMPUTED_VALUE"""),"7402326411020001")</f>
        <v>7402326411020001</v>
      </c>
      <c r="J1046" s="7" t="str">
        <f>IFERROR(__xludf.DUMMYFUNCTION("""COMPUTED_VALUE"""),"PEREMPUAN")</f>
        <v>PEREMPUAN</v>
      </c>
      <c r="K1046" s="6" t="str">
        <f>IFERROR(__xludf.DUMMYFUNCTION("""COMPUTED_VALUE"""),"Baruga, Kota Kendari")</f>
        <v>Baruga, Kota Kendari</v>
      </c>
      <c r="R1046" s="7" t="str">
        <f>IFERROR(__xludf.DUMMYFUNCTION("""COMPUTED_VALUE"""),"K")</f>
        <v>K</v>
      </c>
    </row>
    <row r="1047" ht="22.5" customHeight="1">
      <c r="A1047" s="6">
        <v>1046.0</v>
      </c>
      <c r="B1047" s="6" t="str">
        <f>IFERROR(__xludf.DUMMYFUNCTION("""COMPUTED_VALUE"""),"Pengelolaan Administrasi Perkantoraan")</f>
        <v>Pengelolaan Administrasi Perkantoraan</v>
      </c>
      <c r="F1047" s="6" t="str">
        <f>IFERROR(__xludf.DUMMYFUNCTION("""COMPUTED_VALUE"""),"Syarif Hidayatullah ")</f>
        <v>Syarif Hidayatullah </v>
      </c>
      <c r="G1047" s="6" t="str">
        <f>IFERROR(__xludf.DUMMYFUNCTION("""COMPUTED_VALUE"""),"7410010109030001")</f>
        <v>7410010109030001</v>
      </c>
      <c r="J1047" s="7" t="str">
        <f>IFERROR(__xludf.DUMMYFUNCTION("""COMPUTED_VALUE"""),"LAKI-LAKI")</f>
        <v>LAKI-LAKI</v>
      </c>
      <c r="K1047" s="6" t="str">
        <f>IFERROR(__xludf.DUMMYFUNCTION("""COMPUTED_VALUE"""),"BTN boulevard regency ")</f>
        <v>BTN boulevard regency </v>
      </c>
      <c r="R1047" s="7" t="str">
        <f>IFERROR(__xludf.DUMMYFUNCTION("""COMPUTED_VALUE"""),"BK")</f>
        <v>BK</v>
      </c>
    </row>
    <row r="1048" ht="22.5" customHeight="1">
      <c r="A1048" s="6">
        <v>1047.0</v>
      </c>
      <c r="B1048" s="6" t="str">
        <f>IFERROR(__xludf.DUMMYFUNCTION("""COMPUTED_VALUE"""),"Pengelolaan Administrasi Perkantoraan")</f>
        <v>Pengelolaan Administrasi Perkantoraan</v>
      </c>
      <c r="F1048" s="6" t="str">
        <f>IFERROR(__xludf.DUMMYFUNCTION("""COMPUTED_VALUE"""),"Muchlis Yafandi")</f>
        <v>Muchlis Yafandi</v>
      </c>
      <c r="G1048" s="6" t="str">
        <f>IFERROR(__xludf.DUMMYFUNCTION("""COMPUTED_VALUE"""),"7403171004040203")</f>
        <v>7403171004040203</v>
      </c>
      <c r="J1048" s="7" t="str">
        <f>IFERROR(__xludf.DUMMYFUNCTION("""COMPUTED_VALUE"""),"LAKI-LAKI")</f>
        <v>LAKI-LAKI</v>
      </c>
      <c r="K1048" s="6" t="str">
        <f>IFERROR(__xludf.DUMMYFUNCTION("""COMPUTED_VALUE"""),"Desa Banggai, Kecamatan Duruka")</f>
        <v>Desa Banggai, Kecamatan Duruka</v>
      </c>
      <c r="R1048" s="7" t="str">
        <f>IFERROR(__xludf.DUMMYFUNCTION("""COMPUTED_VALUE"""),"K")</f>
        <v>K</v>
      </c>
    </row>
    <row r="1049" ht="22.5" customHeight="1">
      <c r="A1049" s="6">
        <v>1048.0</v>
      </c>
      <c r="B1049" s="6" t="str">
        <f>IFERROR(__xludf.DUMMYFUNCTION("""COMPUTED_VALUE"""),"Pengelolaan Administrasi Perkantoraan")</f>
        <v>Pengelolaan Administrasi Perkantoraan</v>
      </c>
      <c r="F1049" s="6" t="str">
        <f>IFERROR(__xludf.DUMMYFUNCTION("""COMPUTED_VALUE"""),"HAIKAL GILANG SAMUDRA")</f>
        <v>HAIKAL GILANG SAMUDRA</v>
      </c>
      <c r="G1049" s="6" t="str">
        <f>IFERROR(__xludf.DUMMYFUNCTION("""COMPUTED_VALUE"""),"7472060608030001")</f>
        <v>7472060608030001</v>
      </c>
      <c r="J1049" s="7" t="str">
        <f>IFERROR(__xludf.DUMMYFUNCTION("""COMPUTED_VALUE"""),"LAKI-LAKI")</f>
        <v>LAKI-LAKI</v>
      </c>
      <c r="K1049" s="6" t="str">
        <f>IFERROR(__xludf.DUMMYFUNCTION("""COMPUTED_VALUE"""),"Jl. Terong, Mokoau, Kec. Kambu, Kota Kendari, Sulawesi Tenggara")</f>
        <v>Jl. Terong, Mokoau, Kec. Kambu, Kota Kendari, Sulawesi Tenggara</v>
      </c>
      <c r="R1049" s="7" t="str">
        <f>IFERROR(__xludf.DUMMYFUNCTION("""COMPUTED_VALUE"""),"K")</f>
        <v>K</v>
      </c>
    </row>
    <row r="1050" ht="22.5" customHeight="1">
      <c r="A1050" s="6">
        <v>1049.0</v>
      </c>
      <c r="B1050" s="6" t="str">
        <f>IFERROR(__xludf.DUMMYFUNCTION("""COMPUTED_VALUE"""),"Pengelolaan Administrasi Perkantoraan")</f>
        <v>Pengelolaan Administrasi Perkantoraan</v>
      </c>
      <c r="F1050" s="6" t="str">
        <f>IFERROR(__xludf.DUMMYFUNCTION("""COMPUTED_VALUE"""),"Nur Alpinansyah")</f>
        <v>Nur Alpinansyah</v>
      </c>
      <c r="G1050" s="6" t="str">
        <f>IFERROR(__xludf.DUMMYFUNCTION("""COMPUTED_VALUE"""),"7402116909030003")</f>
        <v>7402116909030003</v>
      </c>
      <c r="J1050" s="7" t="str">
        <f>IFERROR(__xludf.DUMMYFUNCTION("""COMPUTED_VALUE"""),"PEREMPUAN")</f>
        <v>PEREMPUAN</v>
      </c>
      <c r="K1050" s="6" t="str">
        <f>IFERROR(__xludf.DUMMYFUNCTION("""COMPUTED_VALUE"""),"Jl. RE. Martadinata, RT 1 RW1")</f>
        <v>Jl. RE. Martadinata, RT 1 RW1</v>
      </c>
      <c r="R1050" s="7" t="str">
        <f>IFERROR(__xludf.DUMMYFUNCTION("""COMPUTED_VALUE"""),"K")</f>
        <v>K</v>
      </c>
    </row>
    <row r="1051" ht="22.5" customHeight="1">
      <c r="A1051" s="6">
        <v>1050.0</v>
      </c>
      <c r="B1051" s="6" t="str">
        <f>IFERROR(__xludf.DUMMYFUNCTION("""COMPUTED_VALUE"""),"Pengelolaan Administrasi Perkantoraan")</f>
        <v>Pengelolaan Administrasi Perkantoraan</v>
      </c>
      <c r="F1051" s="6" t="str">
        <f>IFERROR(__xludf.DUMMYFUNCTION("""COMPUTED_VALUE"""),"Asmah Kharija ")</f>
        <v>Asmah Kharija </v>
      </c>
      <c r="G1051" s="6" t="str">
        <f>IFERROR(__xludf.DUMMYFUNCTION("""COMPUTED_VALUE"""),"7406144203040001")</f>
        <v>7406144203040001</v>
      </c>
      <c r="J1051" s="7" t="str">
        <f>IFERROR(__xludf.DUMMYFUNCTION("""COMPUTED_VALUE"""),"PEREMPUAN")</f>
        <v>PEREMPUAN</v>
      </c>
      <c r="K1051" s="6" t="str">
        <f>IFERROR(__xludf.DUMMYFUNCTION("""COMPUTED_VALUE"""),"Desa Baliara Selatan, kecamatan Kabaena Barat")</f>
        <v>Desa Baliara Selatan, kecamatan Kabaena Barat</v>
      </c>
      <c r="R1051" s="7" t="str">
        <f>IFERROR(__xludf.DUMMYFUNCTION("""COMPUTED_VALUE"""),"K")</f>
        <v>K</v>
      </c>
    </row>
    <row r="1052" ht="22.5" customHeight="1">
      <c r="A1052" s="6">
        <v>1051.0</v>
      </c>
      <c r="B1052" s="6" t="str">
        <f>IFERROR(__xludf.DUMMYFUNCTION("""COMPUTED_VALUE"""),"Pengelolaan Administrasi Perkantoraan")</f>
        <v>Pengelolaan Administrasi Perkantoraan</v>
      </c>
      <c r="F1052" s="6" t="str">
        <f>IFERROR(__xludf.DUMMYFUNCTION("""COMPUTED_VALUE"""),"ZASKIA TSALSABILLAH")</f>
        <v>ZASKIA TSALSABILLAH</v>
      </c>
      <c r="G1052" s="6" t="str">
        <f>IFERROR(__xludf.DUMMYFUNCTION("""COMPUTED_VALUE"""),"7403064108030001")</f>
        <v>7403064108030001</v>
      </c>
      <c r="J1052" s="7" t="str">
        <f>IFERROR(__xludf.DUMMYFUNCTION("""COMPUTED_VALUE"""),"PEREMPUAN")</f>
        <v>PEREMPUAN</v>
      </c>
      <c r="K1052" s="6" t="str">
        <f>IFERROR(__xludf.DUMMYFUNCTION("""COMPUTED_VALUE"""),"JL. H. SURABAYA, BTN GRAHA TERATAI INDAH 4")</f>
        <v>JL. H. SURABAYA, BTN GRAHA TERATAI INDAH 4</v>
      </c>
      <c r="R1052" s="7" t="str">
        <f>IFERROR(__xludf.DUMMYFUNCTION("""COMPUTED_VALUE"""),"K")</f>
        <v>K</v>
      </c>
    </row>
    <row r="1053" ht="22.5" customHeight="1">
      <c r="A1053" s="6">
        <v>1052.0</v>
      </c>
      <c r="B1053" s="6" t="str">
        <f>IFERROR(__xludf.DUMMYFUNCTION("""COMPUTED_VALUE"""),"Pengelolaan Administrasi Perkantoraan")</f>
        <v>Pengelolaan Administrasi Perkantoraan</v>
      </c>
      <c r="F1053" s="6" t="str">
        <f>IFERROR(__xludf.DUMMYFUNCTION("""COMPUTED_VALUE"""),"Nurhadi Ramadhan")</f>
        <v>Nurhadi Ramadhan</v>
      </c>
      <c r="G1053" s="6" t="str">
        <f>IFERROR(__xludf.DUMMYFUNCTION("""COMPUTED_VALUE"""),"7471082212980002")</f>
        <v>7471082212980002</v>
      </c>
      <c r="J1053" s="7" t="str">
        <f>IFERROR(__xludf.DUMMYFUNCTION("""COMPUTED_VALUE"""),"LAKI-LAKI")</f>
        <v>LAKI-LAKI</v>
      </c>
      <c r="K1053" s="6" t="str">
        <f>IFERROR(__xludf.DUMMYFUNCTION("""COMPUTED_VALUE"""),"Jl. Boulevard, Lrg. Tolagu, RT. 001 / RW. 001, Kel. Baruga, Kec. Baruga")</f>
        <v>Jl. Boulevard, Lrg. Tolagu, RT. 001 / RW. 001, Kel. Baruga, Kec. Baruga</v>
      </c>
      <c r="R1053" s="7" t="str">
        <f>IFERROR(__xludf.DUMMYFUNCTION("""COMPUTED_VALUE"""),"K")</f>
        <v>K</v>
      </c>
    </row>
    <row r="1054" ht="22.5" customHeight="1">
      <c r="A1054" s="6">
        <v>1053.0</v>
      </c>
      <c r="B1054" s="6" t="str">
        <f>IFERROR(__xludf.DUMMYFUNCTION("""COMPUTED_VALUE"""),"Pengelolaan Administrasi Perkantoraan")</f>
        <v>Pengelolaan Administrasi Perkantoraan</v>
      </c>
      <c r="F1054" s="6" t="str">
        <f>IFERROR(__xludf.DUMMYFUNCTION("""COMPUTED_VALUE"""),"Andry Yusmin Nompo")</f>
        <v>Andry Yusmin Nompo</v>
      </c>
      <c r="G1054" s="6" t="str">
        <f>IFERROR(__xludf.DUMMYFUNCTION("""COMPUTED_VALUE"""),"7404080604020001")</f>
        <v>7404080604020001</v>
      </c>
      <c r="J1054" s="7" t="str">
        <f>IFERROR(__xludf.DUMMYFUNCTION("""COMPUTED_VALUE"""),"LAKI-LAKI")</f>
        <v>LAKI-LAKI</v>
      </c>
      <c r="K1054" s="6" t="str">
        <f>IFERROR(__xludf.DUMMYFUNCTION("""COMPUTED_VALUE"""),"Ranomeeto")</f>
        <v>Ranomeeto</v>
      </c>
      <c r="R1054" s="7" t="str">
        <f>IFERROR(__xludf.DUMMYFUNCTION("""COMPUTED_VALUE"""),"K")</f>
        <v>K</v>
      </c>
    </row>
    <row r="1055" ht="22.5" customHeight="1">
      <c r="A1055" s="6">
        <v>1054.0</v>
      </c>
      <c r="B1055" s="6" t="str">
        <f>IFERROR(__xludf.DUMMYFUNCTION("""COMPUTED_VALUE"""),"Pengelolaan Administrasi Perkantoraan")</f>
        <v>Pengelolaan Administrasi Perkantoraan</v>
      </c>
      <c r="F1055" s="6" t="str">
        <f>IFERROR(__xludf.DUMMYFUNCTION("""COMPUTED_VALUE"""),"Syaffikka")</f>
        <v>Syaffikka</v>
      </c>
      <c r="G1055" s="6" t="str">
        <f>IFERROR(__xludf.DUMMYFUNCTION("""COMPUTED_VALUE"""),"7403114301040001")</f>
        <v>7403114301040001</v>
      </c>
      <c r="J1055" s="7" t="str">
        <f>IFERROR(__xludf.DUMMYFUNCTION("""COMPUTED_VALUE"""),"PEREMPUAN")</f>
        <v>PEREMPUAN</v>
      </c>
      <c r="K1055" s="6" t="str">
        <f>IFERROR(__xludf.DUMMYFUNCTION("""COMPUTED_VALUE"""),"Jalan Kontukowuna RT001 RW 003")</f>
        <v>Jalan Kontukowuna RT001 RW 003</v>
      </c>
      <c r="R1055" s="7" t="str">
        <f>IFERROR(__xludf.DUMMYFUNCTION("""COMPUTED_VALUE"""),"K")</f>
        <v>K</v>
      </c>
    </row>
    <row r="1056" ht="22.5" customHeight="1">
      <c r="A1056" s="6">
        <v>1055.0</v>
      </c>
      <c r="B1056" s="6" t="str">
        <f>IFERROR(__xludf.DUMMYFUNCTION("""COMPUTED_VALUE"""),"Pengelolaan Administrasi Perkantoraan")</f>
        <v>Pengelolaan Administrasi Perkantoraan</v>
      </c>
      <c r="F1056" s="6" t="str">
        <f>IFERROR(__xludf.DUMMYFUNCTION("""COMPUTED_VALUE"""),"Ulfa Hardianti")</f>
        <v>Ulfa Hardianti</v>
      </c>
      <c r="G1056" s="6" t="str">
        <f>IFERROR(__xludf.DUMMYFUNCTION("""COMPUTED_VALUE"""),"7371065410030003")</f>
        <v>7371065410030003</v>
      </c>
      <c r="J1056" s="7" t="str">
        <f>IFERROR(__xludf.DUMMYFUNCTION("""COMPUTED_VALUE"""),"PEREMPUAN")</f>
        <v>PEREMPUAN</v>
      </c>
      <c r="K1056" s="6" t="str">
        <f>IFERROR(__xludf.DUMMYFUNCTION("""COMPUTED_VALUE"""),"Desa Matanauwe,Kecamatan Siotapina,Kabupaten Buton, Sulawesi Tenggara")</f>
        <v>Desa Matanauwe,Kecamatan Siotapina,Kabupaten Buton, Sulawesi Tenggara</v>
      </c>
      <c r="R1056" s="7" t="str">
        <f>IFERROR(__xludf.DUMMYFUNCTION("""COMPUTED_VALUE"""),"K")</f>
        <v>K</v>
      </c>
    </row>
    <row r="1057" ht="22.5" customHeight="1">
      <c r="A1057" s="6">
        <v>1056.0</v>
      </c>
      <c r="B1057" s="6" t="str">
        <f>IFERROR(__xludf.DUMMYFUNCTION("""COMPUTED_VALUE"""),"Pengelolaan Administrasi Perkantoraan")</f>
        <v>Pengelolaan Administrasi Perkantoraan</v>
      </c>
      <c r="F1057" s="6" t="str">
        <f>IFERROR(__xludf.DUMMYFUNCTION("""COMPUTED_VALUE"""),"Hamid")</f>
        <v>Hamid</v>
      </c>
      <c r="G1057" s="6" t="str">
        <f>IFERROR(__xludf.DUMMYFUNCTION("""COMPUTED_VALUE"""),"7404221501050001")</f>
        <v>7404221501050001</v>
      </c>
      <c r="J1057" s="7" t="str">
        <f>IFERROR(__xludf.DUMMYFUNCTION("""COMPUTED_VALUE"""),"LAKI-LAKI")</f>
        <v>LAKI-LAKI</v>
      </c>
      <c r="K1057" s="6" t="str">
        <f>IFERROR(__xludf.DUMMYFUNCTION("""COMPUTED_VALUE"""),"Dusun P.P. Selatan, Desa Mabulugo, Kec. Kapontori")</f>
        <v>Dusun P.P. Selatan, Desa Mabulugo, Kec. Kapontori</v>
      </c>
      <c r="R1057" s="7" t="str">
        <f>IFERROR(__xludf.DUMMYFUNCTION("""COMPUTED_VALUE"""),"K")</f>
        <v>K</v>
      </c>
    </row>
    <row r="1058" ht="22.5" customHeight="1">
      <c r="A1058" s="6">
        <v>1057.0</v>
      </c>
      <c r="B1058" s="6" t="str">
        <f>IFERROR(__xludf.DUMMYFUNCTION("""COMPUTED_VALUE"""),"Pengelolaan Administrasi Perkantoraan")</f>
        <v>Pengelolaan Administrasi Perkantoraan</v>
      </c>
      <c r="F1058" s="6" t="str">
        <f>IFERROR(__xludf.DUMMYFUNCTION("""COMPUTED_VALUE"""),"Nasywa Rasyifa ")</f>
        <v>Nasywa Rasyifa </v>
      </c>
      <c r="G1058" s="6" t="str">
        <f>IFERROR(__xludf.DUMMYFUNCTION("""COMPUTED_VALUE"""),"7401044911030002")</f>
        <v>7401044911030002</v>
      </c>
      <c r="J1058" s="7" t="str">
        <f>IFERROR(__xludf.DUMMYFUNCTION("""COMPUTED_VALUE"""),"PEREMPUAN")</f>
        <v>PEREMPUAN</v>
      </c>
      <c r="K1058" s="6" t="str">
        <f>IFERROR(__xludf.DUMMYFUNCTION("""COMPUTED_VALUE"""),"Komp. Perumnas No. 135 Lalombaa")</f>
        <v>Komp. Perumnas No. 135 Lalombaa</v>
      </c>
      <c r="R1058" s="7" t="str">
        <f>IFERROR(__xludf.DUMMYFUNCTION("""COMPUTED_VALUE"""),"K")</f>
        <v>K</v>
      </c>
    </row>
    <row r="1059" ht="22.5" customHeight="1">
      <c r="A1059" s="6">
        <v>1058.0</v>
      </c>
      <c r="B1059" s="6" t="str">
        <f>IFERROR(__xludf.DUMMYFUNCTION("""COMPUTED_VALUE"""),"Pengelolaan Administrasi Perkantoraan")</f>
        <v>Pengelolaan Administrasi Perkantoraan</v>
      </c>
      <c r="F1059" s="6" t="str">
        <f>IFERROR(__xludf.DUMMYFUNCTION("""COMPUTED_VALUE"""),"Wa Ode Indy Astika Vera")</f>
        <v>Wa Ode Indy Astika Vera</v>
      </c>
      <c r="G1059" s="6" t="str">
        <f>IFERROR(__xludf.DUMMYFUNCTION("""COMPUTED_VALUE"""),"7403125606030001")</f>
        <v>7403125606030001</v>
      </c>
      <c r="J1059" s="7" t="str">
        <f>IFERROR(__xludf.DUMMYFUNCTION("""COMPUTED_VALUE"""),"PEREMPUAN")</f>
        <v>PEREMPUAN</v>
      </c>
      <c r="K1059" s="6" t="str">
        <f>IFERROR(__xludf.DUMMYFUNCTION("""COMPUTED_VALUE"""),"Jl. Sutan Syahrir, Kel. Wapunto, Kec. Duruka")</f>
        <v>Jl. Sutan Syahrir, Kel. Wapunto, Kec. Duruka</v>
      </c>
      <c r="R1059" s="7" t="str">
        <f>IFERROR(__xludf.DUMMYFUNCTION("""COMPUTED_VALUE"""),"K")</f>
        <v>K</v>
      </c>
    </row>
    <row r="1060" ht="22.5" customHeight="1">
      <c r="A1060" s="6">
        <v>1059.0</v>
      </c>
      <c r="B1060" s="6" t="str">
        <f>IFERROR(__xludf.DUMMYFUNCTION("""COMPUTED_VALUE"""),"Pengelolaan Administrasi Perkantoraan")</f>
        <v>Pengelolaan Administrasi Perkantoraan</v>
      </c>
      <c r="F1060" s="6" t="str">
        <f>IFERROR(__xludf.DUMMYFUNCTION("""COMPUTED_VALUE"""),"Irmawati")</f>
        <v>Irmawati</v>
      </c>
      <c r="G1060" s="6" t="str">
        <f>IFERROR(__xludf.DUMMYFUNCTION("""COMPUTED_VALUE"""),"7409105309030001")</f>
        <v>7409105309030001</v>
      </c>
      <c r="J1060" s="7" t="str">
        <f>IFERROR(__xludf.DUMMYFUNCTION("""COMPUTED_VALUE"""),"PEREMPUAN")</f>
        <v>PEREMPUAN</v>
      </c>
      <c r="K1060" s="6" t="str">
        <f>IFERROR(__xludf.DUMMYFUNCTION("""COMPUTED_VALUE"""),"Desa Kapolano, Kecamatan Motui")</f>
        <v>Desa Kapolano, Kecamatan Motui</v>
      </c>
      <c r="R1060" s="7" t="str">
        <f>IFERROR(__xludf.DUMMYFUNCTION("""COMPUTED_VALUE"""),"K")</f>
        <v>K</v>
      </c>
    </row>
    <row r="1061" ht="22.5" customHeight="1">
      <c r="A1061" s="6">
        <v>1060.0</v>
      </c>
      <c r="B1061" s="6" t="str">
        <f>IFERROR(__xludf.DUMMYFUNCTION("""COMPUTED_VALUE"""),"Pengelolaan Administrasi Perkantoraan")</f>
        <v>Pengelolaan Administrasi Perkantoraan</v>
      </c>
      <c r="F1061" s="6" t="str">
        <f>IFERROR(__xludf.DUMMYFUNCTION("""COMPUTED_VALUE"""),"Muh. Fadlan")</f>
        <v>Muh. Fadlan</v>
      </c>
      <c r="G1061" s="6" t="str">
        <f>IFERROR(__xludf.DUMMYFUNCTION("""COMPUTED_VALUE"""),"7401010404020003")</f>
        <v>7401010404020003</v>
      </c>
      <c r="J1061" s="7" t="str">
        <f>IFERROR(__xludf.DUMMYFUNCTION("""COMPUTED_VALUE"""),"LAKI-LAKI")</f>
        <v>LAKI-LAKI</v>
      </c>
      <c r="K1061" s="6" t="str">
        <f>IFERROR(__xludf.DUMMYFUNCTION("""COMPUTED_VALUE"""),"Wundulako")</f>
        <v>Wundulako</v>
      </c>
      <c r="R1061" s="7" t="str">
        <f>IFERROR(__xludf.DUMMYFUNCTION("""COMPUTED_VALUE"""),"K")</f>
        <v>K</v>
      </c>
    </row>
    <row r="1062" ht="22.5" customHeight="1">
      <c r="A1062" s="6">
        <v>1061.0</v>
      </c>
      <c r="B1062" s="6" t="str">
        <f>IFERROR(__xludf.DUMMYFUNCTION("""COMPUTED_VALUE"""),"Pengelolaan Administrasi Perkantoraan")</f>
        <v>Pengelolaan Administrasi Perkantoraan</v>
      </c>
      <c r="F1062" s="6" t="str">
        <f>IFERROR(__xludf.DUMMYFUNCTION("""COMPUTED_VALUE"""),"Asmin")</f>
        <v>Asmin</v>
      </c>
      <c r="G1062" s="6" t="str">
        <f>IFERROR(__xludf.DUMMYFUNCTION("""COMPUTED_VALUE"""),"7404100507030002")</f>
        <v>7404100507030002</v>
      </c>
      <c r="J1062" s="7" t="str">
        <f>IFERROR(__xludf.DUMMYFUNCTION("""COMPUTED_VALUE"""),"LAKI-LAKI")</f>
        <v>LAKI-LAKI</v>
      </c>
      <c r="K1062" s="6" t="str">
        <f>IFERROR(__xludf.DUMMYFUNCTION("""COMPUTED_VALUE"""),"Kel. Kambu, Kec. Kambu")</f>
        <v>Kel. Kambu, Kec. Kambu</v>
      </c>
      <c r="R1062" s="7" t="str">
        <f>IFERROR(__xludf.DUMMYFUNCTION("""COMPUTED_VALUE"""),"K")</f>
        <v>K</v>
      </c>
    </row>
    <row r="1063" ht="22.5" customHeight="1">
      <c r="A1063" s="6">
        <v>1062.0</v>
      </c>
      <c r="B1063" s="6" t="str">
        <f>IFERROR(__xludf.DUMMYFUNCTION("""COMPUTED_VALUE"""),"Pengelolaan Administrasi Perkantoraan")</f>
        <v>Pengelolaan Administrasi Perkantoraan</v>
      </c>
      <c r="F1063" s="6" t="str">
        <f>IFERROR(__xludf.DUMMYFUNCTION("""COMPUTED_VALUE"""),"Pinkan Mulyani ")</f>
        <v>Pinkan Mulyani </v>
      </c>
      <c r="G1063" s="6" t="str">
        <f>IFERROR(__xludf.DUMMYFUNCTION("""COMPUTED_VALUE"""),"7402024205040005")</f>
        <v>7402024205040005</v>
      </c>
      <c r="J1063" s="7" t="str">
        <f>IFERROR(__xludf.DUMMYFUNCTION("""COMPUTED_VALUE"""),"PEREMPUAN")</f>
        <v>PEREMPUAN</v>
      </c>
      <c r="K1063" s="6" t="str">
        <f>IFERROR(__xludf.DUMMYFUNCTION("""COMPUTED_VALUE"""),"Desa Sindangkasih")</f>
        <v>Desa Sindangkasih</v>
      </c>
      <c r="R1063" s="7" t="str">
        <f>IFERROR(__xludf.DUMMYFUNCTION("""COMPUTED_VALUE"""),"K")</f>
        <v>K</v>
      </c>
    </row>
    <row r="1064" ht="22.5" customHeight="1">
      <c r="A1064" s="6">
        <v>1063.0</v>
      </c>
      <c r="B1064" s="6" t="str">
        <f>IFERROR(__xludf.DUMMYFUNCTION("""COMPUTED_VALUE"""),"Pengelolaan Administrasi Perkantoraan")</f>
        <v>Pengelolaan Administrasi Perkantoraan</v>
      </c>
      <c r="F1064" s="6" t="str">
        <f>IFERROR(__xludf.DUMMYFUNCTION("""COMPUTED_VALUE"""),"Abdul Somad")</f>
        <v>Abdul Somad</v>
      </c>
      <c r="G1064" s="6" t="str">
        <f>IFERROR(__xludf.DUMMYFUNCTION("""COMPUTED_VALUE"""),"7410051004030001")</f>
        <v>7410051004030001</v>
      </c>
      <c r="J1064" s="7" t="str">
        <f>IFERROR(__xludf.DUMMYFUNCTION("""COMPUTED_VALUE"""),"LAKI-LAKI")</f>
        <v>LAKI-LAKI</v>
      </c>
      <c r="K1064" s="6" t="str">
        <f>IFERROR(__xludf.DUMMYFUNCTION("""COMPUTED_VALUE"""),"Btn Jambu Regency")</f>
        <v>Btn Jambu Regency</v>
      </c>
      <c r="R1064" s="7" t="str">
        <f>IFERROR(__xludf.DUMMYFUNCTION("""COMPUTED_VALUE"""),"K")</f>
        <v>K</v>
      </c>
    </row>
    <row r="1065" ht="22.5" customHeight="1">
      <c r="A1065" s="6">
        <v>1064.0</v>
      </c>
      <c r="B1065" s="6" t="str">
        <f>IFERROR(__xludf.DUMMYFUNCTION("""COMPUTED_VALUE"""),"Pengelolaan Administrasi Perkantoraan")</f>
        <v>Pengelolaan Administrasi Perkantoraan</v>
      </c>
      <c r="F1065" s="6" t="str">
        <f>IFERROR(__xludf.DUMMYFUNCTION("""COMPUTED_VALUE"""),"Iis Pratiwi")</f>
        <v>Iis Pratiwi</v>
      </c>
      <c r="G1065" s="6" t="str">
        <f>IFERROR(__xludf.DUMMYFUNCTION("""COMPUTED_VALUE"""),"7410016304030001")</f>
        <v>7410016304030001</v>
      </c>
      <c r="J1065" s="7" t="str">
        <f>IFERROR(__xludf.DUMMYFUNCTION("""COMPUTED_VALUE"""),"PEREMPUAN")</f>
        <v>PEREMPUAN</v>
      </c>
      <c r="K1065" s="6" t="str">
        <f>IFERROR(__xludf.DUMMYFUNCTION("""COMPUTED_VALUE"""),"Desa guali")</f>
        <v>Desa guali</v>
      </c>
      <c r="R1065" s="7" t="str">
        <f>IFERROR(__xludf.DUMMYFUNCTION("""COMPUTED_VALUE"""),"K")</f>
        <v>K</v>
      </c>
    </row>
    <row r="1066" ht="22.5" customHeight="1">
      <c r="A1066" s="6">
        <v>1065.0</v>
      </c>
      <c r="B1066" s="6" t="str">
        <f>IFERROR(__xludf.DUMMYFUNCTION("""COMPUTED_VALUE"""),"Pengelolaan Administrasi Perkantoraan")</f>
        <v>Pengelolaan Administrasi Perkantoraan</v>
      </c>
      <c r="F1066" s="6" t="str">
        <f>IFERROR(__xludf.DUMMYFUNCTION("""COMPUTED_VALUE"""),"Difa Indriani")</f>
        <v>Difa Indriani</v>
      </c>
      <c r="G1066" s="6" t="str">
        <f>IFERROR(__xludf.DUMMYFUNCTION("""COMPUTED_VALUE"""),"7403124401030001")</f>
        <v>7403124401030001</v>
      </c>
      <c r="J1066" s="7" t="str">
        <f>IFERROR(__xludf.DUMMYFUNCTION("""COMPUTED_VALUE"""),"PEREMPUAN")</f>
        <v>PEREMPUAN</v>
      </c>
      <c r="K1066" s="6" t="str">
        <f>IFERROR(__xludf.DUMMYFUNCTION("""COMPUTED_VALUE"""),"jl.Ir.Soekarno")</f>
        <v>jl.Ir.Soekarno</v>
      </c>
      <c r="R1066" s="7" t="str">
        <f>IFERROR(__xludf.DUMMYFUNCTION("""COMPUTED_VALUE"""),"K")</f>
        <v>K</v>
      </c>
    </row>
    <row r="1067" ht="22.5" customHeight="1">
      <c r="A1067" s="6">
        <v>1066.0</v>
      </c>
      <c r="B1067" s="6" t="str">
        <f>IFERROR(__xludf.DUMMYFUNCTION("""COMPUTED_VALUE"""),"Pengelolaan Administrasi Perkantoraan")</f>
        <v>Pengelolaan Administrasi Perkantoraan</v>
      </c>
      <c r="F1067" s="6" t="str">
        <f>IFERROR(__xludf.DUMMYFUNCTION("""COMPUTED_VALUE"""),"Andi Muh Farid Aby Ayazi")</f>
        <v>Andi Muh Farid Aby Ayazi</v>
      </c>
      <c r="G1067" s="6" t="str">
        <f>IFERROR(__xludf.DUMMYFUNCTION("""COMPUTED_VALUE"""),"7471081904040001")</f>
        <v>7471081904040001</v>
      </c>
      <c r="J1067" s="7" t="str">
        <f>IFERROR(__xludf.DUMMYFUNCTION("""COMPUTED_VALUE"""),"LAKI-LAKI")</f>
        <v>LAKI-LAKI</v>
      </c>
      <c r="K1067" s="6" t="str">
        <f>IFERROR(__xludf.DUMMYFUNCTION("""COMPUTED_VALUE"""),"Jl Polingai")</f>
        <v>Jl Polingai</v>
      </c>
      <c r="R1067" s="7" t="str">
        <f>IFERROR(__xludf.DUMMYFUNCTION("""COMPUTED_VALUE"""),"K")</f>
        <v>K</v>
      </c>
    </row>
    <row r="1068" ht="22.5" customHeight="1">
      <c r="A1068" s="6">
        <v>1067.0</v>
      </c>
      <c r="B1068" s="6" t="str">
        <f>IFERROR(__xludf.DUMMYFUNCTION("""COMPUTED_VALUE"""),"Pengelolaan Administrasi Perkantoraan")</f>
        <v>Pengelolaan Administrasi Perkantoraan</v>
      </c>
      <c r="F1068" s="6" t="str">
        <f>IFERROR(__xludf.DUMMYFUNCTION("""COMPUTED_VALUE"""),"Anggun Astria")</f>
        <v>Anggun Astria</v>
      </c>
      <c r="G1068" s="6" t="str">
        <f>IFERROR(__xludf.DUMMYFUNCTION("""COMPUTED_VALUE"""),"7407067105030002")</f>
        <v>7407067105030002</v>
      </c>
      <c r="J1068" s="7" t="str">
        <f>IFERROR(__xludf.DUMMYFUNCTION("""COMPUTED_VALUE"""),"PEREMPUAN")</f>
        <v>PEREMPUAN</v>
      </c>
      <c r="K1068" s="6" t="str">
        <f>IFERROR(__xludf.DUMMYFUNCTION("""COMPUTED_VALUE"""),"Jl. Gatot Subroto, Kec. Wolio, Kota Baubau, Sulawesi Tenggara.enggara")</f>
        <v>Jl. Gatot Subroto, Kec. Wolio, Kota Baubau, Sulawesi Tenggara.enggara</v>
      </c>
      <c r="R1068" s="7" t="str">
        <f>IFERROR(__xludf.DUMMYFUNCTION("""COMPUTED_VALUE"""),"K")</f>
        <v>K</v>
      </c>
    </row>
    <row r="1069" ht="22.5" customHeight="1">
      <c r="A1069" s="6">
        <v>1068.0</v>
      </c>
      <c r="B1069" s="6" t="str">
        <f>IFERROR(__xludf.DUMMYFUNCTION("""COMPUTED_VALUE"""),"Pengelolaan Administrasi Perkantoraan")</f>
        <v>Pengelolaan Administrasi Perkantoraan</v>
      </c>
      <c r="F1069" s="6" t="str">
        <f>IFERROR(__xludf.DUMMYFUNCTION("""COMPUTED_VALUE"""),"Muh. Rezky Ramadhan Sarif")</f>
        <v>Muh. Rezky Ramadhan Sarif</v>
      </c>
      <c r="G1069" s="6" t="str">
        <f>IFERROR(__xludf.DUMMYFUNCTION("""COMPUTED_VALUE"""),"7471072711020002")</f>
        <v>7471072711020002</v>
      </c>
      <c r="J1069" s="7" t="str">
        <f>IFERROR(__xludf.DUMMYFUNCTION("""COMPUTED_VALUE"""),"LAKI-LAKI")</f>
        <v>LAKI-LAKI</v>
      </c>
      <c r="K1069" s="6" t="str">
        <f>IFERROR(__xludf.DUMMYFUNCTION("""COMPUTED_VALUE"""),"Jl. Lawata Lrg. 21 No. 1")</f>
        <v>Jl. Lawata Lrg. 21 No. 1</v>
      </c>
      <c r="R1069" s="7" t="str">
        <f>IFERROR(__xludf.DUMMYFUNCTION("""COMPUTED_VALUE"""),"K")</f>
        <v>K</v>
      </c>
    </row>
    <row r="1070" ht="22.5" customHeight="1">
      <c r="A1070" s="6">
        <v>1069.0</v>
      </c>
      <c r="B1070" s="6" t="str">
        <f>IFERROR(__xludf.DUMMYFUNCTION("""COMPUTED_VALUE"""),"Pengelolaan Administrasi Perkantoraan")</f>
        <v>Pengelolaan Administrasi Perkantoraan</v>
      </c>
      <c r="F1070" s="6" t="str">
        <f>IFERROR(__xludf.DUMMYFUNCTION("""COMPUTED_VALUE"""),"ENDANG WARLIAN ")</f>
        <v>ENDANG WARLIAN </v>
      </c>
      <c r="G1070" s="6" t="str">
        <f>IFERROR(__xludf.DUMMYFUNCTION("""COMPUTED_VALUE"""),"7401184107030003")</f>
        <v>7401184107030003</v>
      </c>
      <c r="J1070" s="7" t="str">
        <f>IFERROR(__xludf.DUMMYFUNCTION("""COMPUTED_VALUE"""),"PEREMPUAN")</f>
        <v>PEREMPUAN</v>
      </c>
      <c r="K1070" s="6" t="str">
        <f>IFERROR(__xludf.DUMMYFUNCTION("""COMPUTED_VALUE"""),"Jln. Ekonomi, Kel. Anaiwoi, Kec. Tanggetada, Kab. Kolaka")</f>
        <v>Jln. Ekonomi, Kel. Anaiwoi, Kec. Tanggetada, Kab. Kolaka</v>
      </c>
      <c r="R1070" s="7" t="str">
        <f>IFERROR(__xludf.DUMMYFUNCTION("""COMPUTED_VALUE"""),"K")</f>
        <v>K</v>
      </c>
    </row>
    <row r="1071" ht="22.5" customHeight="1">
      <c r="A1071" s="6">
        <v>1070.0</v>
      </c>
      <c r="B1071" s="6" t="str">
        <f>IFERROR(__xludf.DUMMYFUNCTION("""COMPUTED_VALUE"""),"Pengelolaan Administrasi Perkantoraan")</f>
        <v>Pengelolaan Administrasi Perkantoraan</v>
      </c>
      <c r="F1071" s="6" t="str">
        <f>IFERROR(__xludf.DUMMYFUNCTION("""COMPUTED_VALUE"""),"Cantika Wulele Mosiusiu")</f>
        <v>Cantika Wulele Mosiusiu</v>
      </c>
      <c r="G1071" s="6" t="str">
        <f>IFERROR(__xludf.DUMMYFUNCTION("""COMPUTED_VALUE"""),"7471064904030001")</f>
        <v>7471064904030001</v>
      </c>
      <c r="J1071" s="7" t="str">
        <f>IFERROR(__xludf.DUMMYFUNCTION("""COMPUTED_VALUE"""),"PEREMPUAN")</f>
        <v>PEREMPUAN</v>
      </c>
      <c r="K1071" s="6" t="str">
        <f>IFERROR(__xludf.DUMMYFUNCTION("""COMPUTED_VALUE"""),"jln.wedahu, RT.01, RW.01")</f>
        <v>jln.wedahu, RT.01, RW.01</v>
      </c>
      <c r="R1071" s="7" t="str">
        <f>IFERROR(__xludf.DUMMYFUNCTION("""COMPUTED_VALUE"""),"K")</f>
        <v>K</v>
      </c>
    </row>
    <row r="1072" ht="22.5" customHeight="1">
      <c r="A1072" s="6">
        <v>1071.0</v>
      </c>
      <c r="B1072" s="6" t="str">
        <f>IFERROR(__xludf.DUMMYFUNCTION("""COMPUTED_VALUE"""),"Pengelolaan Administrasi Perkantoraan")</f>
        <v>Pengelolaan Administrasi Perkantoraan</v>
      </c>
      <c r="F1072" s="6" t="str">
        <f>IFERROR(__xludf.DUMMYFUNCTION("""COMPUTED_VALUE"""),"Hesty Majid")</f>
        <v>Hesty Majid</v>
      </c>
      <c r="G1072" s="6" t="str">
        <f>IFERROR(__xludf.DUMMYFUNCTION("""COMPUTED_VALUE"""),"7471084111020002")</f>
        <v>7471084111020002</v>
      </c>
      <c r="J1072" s="7" t="str">
        <f>IFERROR(__xludf.DUMMYFUNCTION("""COMPUTED_VALUE"""),"PEREMPUAN")</f>
        <v>PEREMPUAN</v>
      </c>
      <c r="K1072" s="6" t="str">
        <f>IFERROR(__xludf.DUMMYFUNCTION("""COMPUTED_VALUE"""),"jl. Budi Utomo lrg. Merak")</f>
        <v>jl. Budi Utomo lrg. Merak</v>
      </c>
      <c r="R1072" s="7" t="str">
        <f>IFERROR(__xludf.DUMMYFUNCTION("""COMPUTED_VALUE"""),"K")</f>
        <v>K</v>
      </c>
    </row>
    <row r="1073" ht="22.5" customHeight="1">
      <c r="A1073" s="6">
        <v>1072.0</v>
      </c>
      <c r="B1073" s="6" t="str">
        <f>IFERROR(__xludf.DUMMYFUNCTION("""COMPUTED_VALUE"""),"Pengelolaan Administrasi Perkantoraan")</f>
        <v>Pengelolaan Administrasi Perkantoraan</v>
      </c>
      <c r="F1073" s="6" t="str">
        <f>IFERROR(__xludf.DUMMYFUNCTION("""COMPUTED_VALUE"""),"Nuur Sholiha Salimin S.M")</f>
        <v>Nuur Sholiha Salimin S.M</v>
      </c>
      <c r="G1073" s="6" t="str">
        <f>IFERROR(__xludf.DUMMYFUNCTION("""COMPUTED_VALUE"""),"7471085703020003")</f>
        <v>7471085703020003</v>
      </c>
      <c r="J1073" s="7" t="str">
        <f>IFERROR(__xludf.DUMMYFUNCTION("""COMPUTED_VALUE"""),"PEREMPUAN")</f>
        <v>PEREMPUAN</v>
      </c>
      <c r="K1073" s="6" t="str">
        <f>IFERROR(__xludf.DUMMYFUNCTION("""COMPUTED_VALUE"""),"Jalan mekar no 89")</f>
        <v>Jalan mekar no 89</v>
      </c>
      <c r="R1073" s="7" t="str">
        <f>IFERROR(__xludf.DUMMYFUNCTION("""COMPUTED_VALUE"""),"K")</f>
        <v>K</v>
      </c>
    </row>
    <row r="1074" ht="22.5" customHeight="1">
      <c r="A1074" s="6">
        <v>1073.0</v>
      </c>
      <c r="B1074" s="6" t="str">
        <f>IFERROR(__xludf.DUMMYFUNCTION("""COMPUTED_VALUE"""),"Pengelolaan Administrasi Perkantoraan")</f>
        <v>Pengelolaan Administrasi Perkantoraan</v>
      </c>
      <c r="F1074" s="6" t="str">
        <f>IFERROR(__xludf.DUMMYFUNCTION("""COMPUTED_VALUE"""),"Raihan Khairun Nisa")</f>
        <v>Raihan Khairun Nisa</v>
      </c>
      <c r="G1074" s="6" t="str">
        <f>IFERROR(__xludf.DUMMYFUNCTION("""COMPUTED_VALUE"""),"7471086906030001")</f>
        <v>7471086906030001</v>
      </c>
      <c r="J1074" s="7" t="str">
        <f>IFERROR(__xludf.DUMMYFUNCTION("""COMPUTED_VALUE"""),"PEREMPUAN")</f>
        <v>PEREMPUAN</v>
      </c>
      <c r="K1074" s="6" t="str">
        <f>IFERROR(__xludf.DUMMYFUNCTION("""COMPUTED_VALUE"""),"Jl. Pasaeno Lr. Aliyah")</f>
        <v>Jl. Pasaeno Lr. Aliyah</v>
      </c>
      <c r="R1074" s="7" t="str">
        <f>IFERROR(__xludf.DUMMYFUNCTION("""COMPUTED_VALUE"""),"K")</f>
        <v>K</v>
      </c>
    </row>
    <row r="1075" ht="22.5" customHeight="1">
      <c r="A1075" s="6">
        <v>1074.0</v>
      </c>
      <c r="B1075" s="6" t="str">
        <f>IFERROR(__xludf.DUMMYFUNCTION("""COMPUTED_VALUE"""),"Pengelolaan Administrasi Perkantoraan")</f>
        <v>Pengelolaan Administrasi Perkantoraan</v>
      </c>
      <c r="F1075" s="6" t="str">
        <f>IFERROR(__xludf.DUMMYFUNCTION("""COMPUTED_VALUE"""),"Alatas")</f>
        <v>Alatas</v>
      </c>
      <c r="G1075" s="6" t="str">
        <f>IFERROR(__xludf.DUMMYFUNCTION("""COMPUTED_VALUE"""),"7472070305020001")</f>
        <v>7472070305020001</v>
      </c>
      <c r="J1075" s="7" t="str">
        <f>IFERROR(__xludf.DUMMYFUNCTION("""COMPUTED_VALUE"""),"LAKI-LAKI")</f>
        <v>LAKI-LAKI</v>
      </c>
      <c r="K1075" s="6" t="str">
        <f>IFERROR(__xludf.DUMMYFUNCTION("""COMPUTED_VALUE"""),"Jl.Koreasa Rt.003 Rw.003 Kel.LowuLowu Kec.LeaLea Kota.BauBau Sulawesi Tenggara")</f>
        <v>Jl.Koreasa Rt.003 Rw.003 Kel.LowuLowu Kec.LeaLea Kota.BauBau Sulawesi Tenggara</v>
      </c>
      <c r="R1075" s="7" t="str">
        <f>IFERROR(__xludf.DUMMYFUNCTION("""COMPUTED_VALUE"""),"K")</f>
        <v>K</v>
      </c>
    </row>
    <row r="1076" ht="22.5" customHeight="1">
      <c r="A1076" s="6">
        <v>1075.0</v>
      </c>
      <c r="B1076" s="6" t="str">
        <f>IFERROR(__xludf.DUMMYFUNCTION("""COMPUTED_VALUE"""),"Pengelolaan Administrasi Perkantoraan")</f>
        <v>Pengelolaan Administrasi Perkantoraan</v>
      </c>
      <c r="F1076" s="6" t="str">
        <f>IFERROR(__xludf.DUMMYFUNCTION("""COMPUTED_VALUE"""),"Ivo Meilani")</f>
        <v>Ivo Meilani</v>
      </c>
      <c r="G1076" s="6" t="str">
        <f>IFERROR(__xludf.DUMMYFUNCTION("""COMPUTED_VALUE"""),"7408044606000001")</f>
        <v>7408044606000001</v>
      </c>
      <c r="J1076" s="7" t="str">
        <f>IFERROR(__xludf.DUMMYFUNCTION("""COMPUTED_VALUE"""),"PEREMPUAN")</f>
        <v>PEREMPUAN</v>
      </c>
      <c r="K1076" s="6" t="str">
        <f>IFERROR(__xludf.DUMMYFUNCTION("""COMPUTED_VALUE"""),"Desa Torotuo, Kec. Ranteangin, Kab. Kolaka Utara, Sulawesi Tenggara, Indonesia")</f>
        <v>Desa Torotuo, Kec. Ranteangin, Kab. Kolaka Utara, Sulawesi Tenggara, Indonesia</v>
      </c>
      <c r="R1076" s="7" t="str">
        <f>IFERROR(__xludf.DUMMYFUNCTION("""COMPUTED_VALUE"""),"K")</f>
        <v>K</v>
      </c>
    </row>
    <row r="1077" ht="22.5" customHeight="1">
      <c r="A1077" s="6">
        <v>1076.0</v>
      </c>
      <c r="B1077" s="6" t="str">
        <f>IFERROR(__xludf.DUMMYFUNCTION("""COMPUTED_VALUE"""),"Pengelolaan Administrasi Perkantoraan")</f>
        <v>Pengelolaan Administrasi Perkantoraan</v>
      </c>
      <c r="F1077" s="6" t="str">
        <f>IFERROR(__xludf.DUMMYFUNCTION("""COMPUTED_VALUE"""),"Tri Handayani Rahayu")</f>
        <v>Tri Handayani Rahayu</v>
      </c>
      <c r="G1077" s="6" t="str">
        <f>IFERROR(__xludf.DUMMYFUNCTION("""COMPUTED_VALUE"""),"7472034408020001")</f>
        <v>7472034408020001</v>
      </c>
      <c r="J1077" s="7" t="str">
        <f>IFERROR(__xludf.DUMMYFUNCTION("""COMPUTED_VALUE"""),"PEREMPUAN")</f>
        <v>PEREMPUAN</v>
      </c>
      <c r="K1077" s="6" t="str">
        <f>IFERROR(__xludf.DUMMYFUNCTION("""COMPUTED_VALUE"""),"Lingkungan Amanasi, RT 01/RW 01, Kel. Gonda Baru, Kec. Sorawolio Kota Baubau")</f>
        <v>Lingkungan Amanasi, RT 01/RW 01, Kel. Gonda Baru, Kec. Sorawolio Kota Baubau</v>
      </c>
      <c r="R1077" s="7" t="str">
        <f>IFERROR(__xludf.DUMMYFUNCTION("""COMPUTED_VALUE"""),"K")</f>
        <v>K</v>
      </c>
    </row>
    <row r="1078" ht="22.5" customHeight="1">
      <c r="A1078" s="6">
        <v>1077.0</v>
      </c>
      <c r="B1078" s="6" t="str">
        <f>IFERROR(__xludf.DUMMYFUNCTION("""COMPUTED_VALUE"""),"Analis Data (Data Analyst)")</f>
        <v>Analis Data (Data Analyst)</v>
      </c>
      <c r="F1078" s="6" t="str">
        <f>IFERROR(__xludf.DUMMYFUNCTION("""COMPUTED_VALUE"""),"Putri Adelia Yunanto")</f>
        <v>Putri Adelia Yunanto</v>
      </c>
      <c r="G1078" s="6" t="str">
        <f>IFERROR(__xludf.DUMMYFUNCTION("""COMPUTED_VALUE"""),"7472066707030003")</f>
        <v>7472066707030003</v>
      </c>
      <c r="J1078" s="7" t="str">
        <f>IFERROR(__xludf.DUMMYFUNCTION("""COMPUTED_VALUE"""),"PEREMPUAN")</f>
        <v>PEREMPUAN</v>
      </c>
      <c r="K1078" s="6" t="str">
        <f>IFERROR(__xludf.DUMMYFUNCTION("""COMPUTED_VALUE"""),"Jalan Pendidikan")</f>
        <v>Jalan Pendidikan</v>
      </c>
      <c r="R1078" s="7" t="str">
        <f>IFERROR(__xludf.DUMMYFUNCTION("""COMPUTED_VALUE"""),"K")</f>
        <v>K</v>
      </c>
    </row>
    <row r="1079" ht="22.5" customHeight="1">
      <c r="A1079" s="6">
        <v>1078.0</v>
      </c>
      <c r="B1079" s="6" t="str">
        <f>IFERROR(__xludf.DUMMYFUNCTION("""COMPUTED_VALUE"""),"Digital Marketing")</f>
        <v>Digital Marketing</v>
      </c>
      <c r="F1079" s="6" t="str">
        <f>IFERROR(__xludf.DUMMYFUNCTION("""COMPUTED_VALUE"""),"GILANG BARGAMORENO")</f>
        <v>GILANG BARGAMORENO</v>
      </c>
      <c r="G1079" s="6" t="str">
        <f>IFERROR(__xludf.DUMMYFUNCTION("""COMPUTED_VALUE"""),"7471100406030001")</f>
        <v>7471100406030001</v>
      </c>
      <c r="J1079" s="7" t="str">
        <f>IFERROR(__xludf.DUMMYFUNCTION("""COMPUTED_VALUE"""),"LAKI-LAKI")</f>
        <v>LAKI-LAKI</v>
      </c>
      <c r="K1079" s="6" t="str">
        <f>IFERROR(__xludf.DUMMYFUNCTION("""COMPUTED_VALUE"""),"BTN UNHALU BLOK X NO 14")</f>
        <v>BTN UNHALU BLOK X NO 14</v>
      </c>
      <c r="R1079" s="7" t="str">
        <f>IFERROR(__xludf.DUMMYFUNCTION("""COMPUTED_VALUE"""),"K")</f>
        <v>K</v>
      </c>
    </row>
    <row r="1080" ht="22.5" customHeight="1">
      <c r="A1080" s="6">
        <v>1079.0</v>
      </c>
      <c r="B1080" s="6" t="str">
        <f>IFERROR(__xludf.DUMMYFUNCTION("""COMPUTED_VALUE"""),"Digital Marketing")</f>
        <v>Digital Marketing</v>
      </c>
      <c r="F1080" s="6" t="str">
        <f>IFERROR(__xludf.DUMMYFUNCTION("""COMPUTED_VALUE"""),"Rezki Miftahul Royan")</f>
        <v>Rezki Miftahul Royan</v>
      </c>
      <c r="G1080" s="6" t="str">
        <f>IFERROR(__xludf.DUMMYFUNCTION("""COMPUTED_VALUE"""),"7407012206030001")</f>
        <v>7407012206030001</v>
      </c>
      <c r="J1080" s="7" t="str">
        <f>IFERROR(__xludf.DUMMYFUNCTION("""COMPUTED_VALUE"""),"LAKI-LAKI")</f>
        <v>LAKI-LAKI</v>
      </c>
      <c r="K1080" s="6" t="str">
        <f>IFERROR(__xludf.DUMMYFUNCTION("""COMPUTED_VALUE"""),"Limbotonga, Waha, Wangi-wangi, Wakatobi")</f>
        <v>Limbotonga, Waha, Wangi-wangi, Wakatobi</v>
      </c>
      <c r="R1080" s="7" t="str">
        <f>IFERROR(__xludf.DUMMYFUNCTION("""COMPUTED_VALUE"""),"K")</f>
        <v>K</v>
      </c>
    </row>
    <row r="1081" ht="22.5" customHeight="1">
      <c r="A1081" s="6">
        <v>1080.0</v>
      </c>
      <c r="B1081" s="6" t="str">
        <f>IFERROR(__xludf.DUMMYFUNCTION("""COMPUTED_VALUE"""),"Pelayanan Pelanggan")</f>
        <v>Pelayanan Pelanggan</v>
      </c>
      <c r="F1081" s="6" t="str">
        <f>IFERROR(__xludf.DUMMYFUNCTION("""COMPUTED_VALUE"""),"LA ODE AZNIL")</f>
        <v>LA ODE AZNIL</v>
      </c>
      <c r="G1081" s="6" t="str">
        <f>IFERROR(__xludf.DUMMYFUNCTION("""COMPUTED_VALUE"""),"7404082104030001")</f>
        <v>7404082104030001</v>
      </c>
      <c r="J1081" s="7" t="str">
        <f>IFERROR(__xludf.DUMMYFUNCTION("""COMPUTED_VALUE"""),"Laki-Laki")</f>
        <v>Laki-Laki</v>
      </c>
      <c r="K1081" s="6" t="str">
        <f>IFERROR(__xludf.DUMMYFUNCTION("""COMPUTED_VALUE"""),"Desa Tanjung")</f>
        <v>Desa Tanjung</v>
      </c>
      <c r="R1081" s="7" t="str">
        <f>IFERROR(__xludf.DUMMYFUNCTION("""COMPUTED_VALUE"""),"K")</f>
        <v>K</v>
      </c>
    </row>
    <row r="1082" ht="22.5" customHeight="1">
      <c r="A1082" s="6">
        <v>1081.0</v>
      </c>
      <c r="B1082" s="6" t="str">
        <f>IFERROR(__xludf.DUMMYFUNCTION("""COMPUTED_VALUE"""),"Pelayanan Pelanggan")</f>
        <v>Pelayanan Pelanggan</v>
      </c>
      <c r="F1082" s="6" t="str">
        <f>IFERROR(__xludf.DUMMYFUNCTION("""COMPUTED_VALUE"""),"Veni Lutfiah Syamsudin")</f>
        <v>Veni Lutfiah Syamsudin</v>
      </c>
      <c r="G1082" s="6" t="str">
        <f>IFERROR(__xludf.DUMMYFUNCTION("""COMPUTED_VALUE"""),"7406024404030001")</f>
        <v>7406024404030001</v>
      </c>
      <c r="J1082" s="7" t="str">
        <f>IFERROR(__xludf.DUMMYFUNCTION("""COMPUTED_VALUE"""),"PEREMPUAN")</f>
        <v>PEREMPUAN</v>
      </c>
      <c r="K1082" s="6" t="str">
        <f>IFERROR(__xludf.DUMMYFUNCTION("""COMPUTED_VALUE"""),"Jl. R. Soeprapto, Mandonga")</f>
        <v>Jl. R. Soeprapto, Mandonga</v>
      </c>
      <c r="R1082" s="7" t="str">
        <f>IFERROR(__xludf.DUMMYFUNCTION("""COMPUTED_VALUE"""),"K")</f>
        <v>K</v>
      </c>
    </row>
    <row r="1083" ht="22.5" customHeight="1">
      <c r="A1083" s="6">
        <v>1082.0</v>
      </c>
      <c r="B1083" s="6" t="str">
        <f>IFERROR(__xludf.DUMMYFUNCTION("""COMPUTED_VALUE"""),"Pelayanan Pelanggan")</f>
        <v>Pelayanan Pelanggan</v>
      </c>
      <c r="F1083" s="6" t="str">
        <f>IFERROR(__xludf.DUMMYFUNCTION("""COMPUTED_VALUE"""),"Nadyah Anatonga")</f>
        <v>Nadyah Anatonga</v>
      </c>
      <c r="G1083" s="6" t="str">
        <f>IFERROR(__xludf.DUMMYFUNCTION("""COMPUTED_VALUE"""),"7406034710000001")</f>
        <v>7406034710000001</v>
      </c>
      <c r="J1083" s="7" t="str">
        <f>IFERROR(__xludf.DUMMYFUNCTION("""COMPUTED_VALUE"""),"PEREMPUAN")</f>
        <v>PEREMPUAN</v>
      </c>
      <c r="K1083" s="6" t="str">
        <f>IFERROR(__xludf.DUMMYFUNCTION("""COMPUTED_VALUE"""),"Btn djavino 6 blok i 20 ")</f>
        <v>Btn djavino 6 blok i 20 </v>
      </c>
      <c r="R1083" s="7" t="str">
        <f>IFERROR(__xludf.DUMMYFUNCTION("""COMPUTED_VALUE"""),"K")</f>
        <v>K</v>
      </c>
    </row>
    <row r="1084" ht="22.5" customHeight="1">
      <c r="A1084" s="6">
        <v>1083.0</v>
      </c>
      <c r="B1084" s="6" t="str">
        <f>IFERROR(__xludf.DUMMYFUNCTION("""COMPUTED_VALUE"""),"Pelayanan Pelanggan")</f>
        <v>Pelayanan Pelanggan</v>
      </c>
      <c r="F1084" s="6" t="str">
        <f>IFERROR(__xludf.DUMMYFUNCTION("""COMPUTED_VALUE"""),"Salmawati")</f>
        <v>Salmawati</v>
      </c>
      <c r="G1084" s="6" t="str">
        <f>IFERROR(__xludf.DUMMYFUNCTION("""COMPUTED_VALUE"""),"7472066805030005")</f>
        <v>7472066805030005</v>
      </c>
      <c r="J1084" s="7" t="str">
        <f>IFERROR(__xludf.DUMMYFUNCTION("""COMPUTED_VALUE"""),"PEREMPUAN")</f>
        <v>PEREMPUAN</v>
      </c>
      <c r="K1084" s="6" t="str">
        <f>IFERROR(__xludf.DUMMYFUNCTION("""COMPUTED_VALUE"""),"Jl. Betoambari, Lrg. Penerangan Kota Baubau")</f>
        <v>Jl. Betoambari, Lrg. Penerangan Kota Baubau</v>
      </c>
      <c r="R1084" s="7" t="str">
        <f>IFERROR(__xludf.DUMMYFUNCTION("""COMPUTED_VALUE"""),"K")</f>
        <v>K</v>
      </c>
    </row>
    <row r="1085" ht="22.5" customHeight="1">
      <c r="A1085" s="6">
        <v>1084.0</v>
      </c>
      <c r="B1085" s="6" t="str">
        <f>IFERROR(__xludf.DUMMYFUNCTION("""COMPUTED_VALUE"""),"Pelayanan Pelanggan")</f>
        <v>Pelayanan Pelanggan</v>
      </c>
      <c r="F1085" s="6" t="str">
        <f>IFERROR(__xludf.DUMMYFUNCTION("""COMPUTED_VALUE"""),"HADRILLAN ALWI")</f>
        <v>HADRILLAN ALWI</v>
      </c>
      <c r="G1085" s="6" t="str">
        <f>IFERROR(__xludf.DUMMYFUNCTION("""COMPUTED_VALUE"""),"7403114606030001")</f>
        <v>7403114606030001</v>
      </c>
      <c r="J1085" s="7" t="str">
        <f>IFERROR(__xludf.DUMMYFUNCTION("""COMPUTED_VALUE"""),"PEREMPUAN")</f>
        <v>PEREMPUAN</v>
      </c>
      <c r="K1085" s="6" t="str">
        <f>IFERROR(__xludf.DUMMYFUNCTION("""COMPUTED_VALUE"""),"Jalan Mangkerey")</f>
        <v>Jalan Mangkerey</v>
      </c>
      <c r="R1085" s="7" t="str">
        <f>IFERROR(__xludf.DUMMYFUNCTION("""COMPUTED_VALUE"""),"K")</f>
        <v>K</v>
      </c>
    </row>
    <row r="1086" ht="22.5" customHeight="1">
      <c r="A1086" s="6">
        <v>1085.0</v>
      </c>
      <c r="B1086" s="6" t="str">
        <f>IFERROR(__xludf.DUMMYFUNCTION("""COMPUTED_VALUE"""),"Pelayanan Pelanggan")</f>
        <v>Pelayanan Pelanggan</v>
      </c>
      <c r="F1086" s="6" t="str">
        <f>IFERROR(__xludf.DUMMYFUNCTION("""COMPUTED_VALUE"""),"Magfirah Radianhy")</f>
        <v>Magfirah Radianhy</v>
      </c>
      <c r="G1086" s="6" t="str">
        <f>IFERROR(__xludf.DUMMYFUNCTION("""COMPUTED_VALUE"""),"7407054804030001")</f>
        <v>7407054804030001</v>
      </c>
      <c r="J1086" s="7" t="str">
        <f>IFERROR(__xludf.DUMMYFUNCTION("""COMPUTED_VALUE"""),"PEREMPUAN")</f>
        <v>PEREMPUAN</v>
      </c>
      <c r="K1086" s="6" t="str">
        <f>IFERROR(__xludf.DUMMYFUNCTION("""COMPUTED_VALUE"""),"Dusun walando, desa walando")</f>
        <v>Dusun walando, desa walando</v>
      </c>
      <c r="R1086" s="7" t="str">
        <f>IFERROR(__xludf.DUMMYFUNCTION("""COMPUTED_VALUE"""),"K")</f>
        <v>K</v>
      </c>
    </row>
    <row r="1087" ht="22.5" customHeight="1">
      <c r="A1087" s="6">
        <v>1086.0</v>
      </c>
      <c r="B1087" s="6" t="str">
        <f>IFERROR(__xludf.DUMMYFUNCTION("""COMPUTED_VALUE"""),"Pelayanan Pelanggan")</f>
        <v>Pelayanan Pelanggan</v>
      </c>
      <c r="F1087" s="6" t="str">
        <f>IFERROR(__xludf.DUMMYFUNCTION("""COMPUTED_VALUE"""),"Firly Aulia Farani ")</f>
        <v>Firly Aulia Farani </v>
      </c>
      <c r="G1087" s="6" t="str">
        <f>IFERROR(__xludf.DUMMYFUNCTION("""COMPUTED_VALUE"""),"7471104905030001")</f>
        <v>7471104905030001</v>
      </c>
      <c r="J1087" s="7" t="str">
        <f>IFERROR(__xludf.DUMMYFUNCTION("""COMPUTED_VALUE"""),"PEREMPUAN")</f>
        <v>PEREMPUAN</v>
      </c>
      <c r="K1087" s="6" t="str">
        <f>IFERROR(__xludf.DUMMYFUNCTION("""COMPUTED_VALUE"""),"LINGK. IV POEA")</f>
        <v>LINGK. IV POEA</v>
      </c>
      <c r="R1087" s="7" t="str">
        <f>IFERROR(__xludf.DUMMYFUNCTION("""COMPUTED_VALUE"""),"K")</f>
        <v>K</v>
      </c>
    </row>
    <row r="1088" ht="22.5" customHeight="1">
      <c r="A1088" s="6">
        <v>1087.0</v>
      </c>
      <c r="B1088" s="6" t="str">
        <f>IFERROR(__xludf.DUMMYFUNCTION("""COMPUTED_VALUE"""),"Pelayanan Pelanggan")</f>
        <v>Pelayanan Pelanggan</v>
      </c>
      <c r="F1088" s="6" t="str">
        <f>IFERROR(__xludf.DUMMYFUNCTION("""COMPUTED_VALUE"""),"SITTI NUR ZAYANTI UDU ")</f>
        <v>SITTI NUR ZAYANTI UDU </v>
      </c>
      <c r="G1088" s="6" t="str">
        <f>IFERROR(__xludf.DUMMYFUNCTION("""COMPUTED_VALUE"""),"7403156810010001")</f>
        <v>7403156810010001</v>
      </c>
      <c r="J1088" s="7" t="str">
        <f>IFERROR(__xludf.DUMMYFUNCTION("""COMPUTED_VALUE"""),"PEREMPUAN")</f>
        <v>PEREMPUAN</v>
      </c>
      <c r="K1088" s="6" t="str">
        <f>IFERROR(__xludf.DUMMYFUNCTION("""COMPUTED_VALUE"""),"Jl. Made Sabara ")</f>
        <v>Jl. Made Sabara </v>
      </c>
      <c r="R1088" s="7" t="str">
        <f>IFERROR(__xludf.DUMMYFUNCTION("""COMPUTED_VALUE"""),"K")</f>
        <v>K</v>
      </c>
    </row>
    <row r="1089" ht="22.5" customHeight="1">
      <c r="A1089" s="6">
        <v>1088.0</v>
      </c>
      <c r="B1089" s="6" t="str">
        <f>IFERROR(__xludf.DUMMYFUNCTION("""COMPUTED_VALUE"""),"Pelayanan Pelanggan")</f>
        <v>Pelayanan Pelanggan</v>
      </c>
      <c r="F1089" s="6" t="str">
        <f>IFERROR(__xludf.DUMMYFUNCTION("""COMPUTED_VALUE"""),"Sabah Rianthy")</f>
        <v>Sabah Rianthy</v>
      </c>
      <c r="G1089" s="6" t="str">
        <f>IFERROR(__xludf.DUMMYFUNCTION("""COMPUTED_VALUE"""),"7407055303030001")</f>
        <v>7407055303030001</v>
      </c>
      <c r="J1089" s="7" t="str">
        <f>IFERROR(__xludf.DUMMYFUNCTION("""COMPUTED_VALUE"""),"PEREMPUAN")</f>
        <v>PEREMPUAN</v>
      </c>
      <c r="K1089" s="6" t="str">
        <f>IFERROR(__xludf.DUMMYFUNCTION("""COMPUTED_VALUE"""),"Bantea II, Kel. Mandati II, Kec. Wangi-Wangi Selatan")</f>
        <v>Bantea II, Kel. Mandati II, Kec. Wangi-Wangi Selatan</v>
      </c>
      <c r="R1089" s="7" t="str">
        <f>IFERROR(__xludf.DUMMYFUNCTION("""COMPUTED_VALUE"""),"K")</f>
        <v>K</v>
      </c>
    </row>
    <row r="1090" ht="22.5" customHeight="1">
      <c r="A1090" s="6">
        <v>1089.0</v>
      </c>
      <c r="B1090" s="6" t="str">
        <f>IFERROR(__xludf.DUMMYFUNCTION("""COMPUTED_VALUE"""),"Pembuatan Desain Grafis")</f>
        <v>Pembuatan Desain Grafis</v>
      </c>
      <c r="F1090" s="6" t="str">
        <f>IFERROR(__xludf.DUMMYFUNCTION("""COMPUTED_VALUE"""),"Audi Hamid")</f>
        <v>Audi Hamid</v>
      </c>
      <c r="G1090" s="6" t="str">
        <f>IFERROR(__xludf.DUMMYFUNCTION("""COMPUTED_VALUE"""),"7471035306030001")</f>
        <v>7471035306030001</v>
      </c>
      <c r="J1090" s="7" t="str">
        <f>IFERROR(__xludf.DUMMYFUNCTION("""COMPUTED_VALUE"""),"PEREMPUAN")</f>
        <v>PEREMPUAN</v>
      </c>
      <c r="K1090" s="6" t="str">
        <f>IFERROR(__xludf.DUMMYFUNCTION("""COMPUTED_VALUE"""),"Jl. Cristina M. Tiahahu, No. 9, RT 003, RW 002, Kelurahan Lepo-lepo, Kecamatan Baruga")</f>
        <v>Jl. Cristina M. Tiahahu, No. 9, RT 003, RW 002, Kelurahan Lepo-lepo, Kecamatan Baruga</v>
      </c>
      <c r="R1090" s="7" t="str">
        <f>IFERROR(__xludf.DUMMYFUNCTION("""COMPUTED_VALUE"""),"K")</f>
        <v>K</v>
      </c>
    </row>
    <row r="1091" ht="22.5" customHeight="1">
      <c r="A1091" s="6">
        <v>1090.0</v>
      </c>
      <c r="B1091" s="6" t="str">
        <f>IFERROR(__xludf.DUMMYFUNCTION("""COMPUTED_VALUE"""),"Pembuatan Desain Grafis")</f>
        <v>Pembuatan Desain Grafis</v>
      </c>
      <c r="F1091" s="6" t="str">
        <f>IFERROR(__xludf.DUMMYFUNCTION("""COMPUTED_VALUE"""),"Rizky Prasetya Ardana")</f>
        <v>Rizky Prasetya Ardana</v>
      </c>
      <c r="G1091" s="6" t="str">
        <f>IFERROR(__xludf.DUMMYFUNCTION("""COMPUTED_VALUE"""),"7471102801020002")</f>
        <v>7471102801020002</v>
      </c>
      <c r="J1091" s="7" t="str">
        <f>IFERROR(__xludf.DUMMYFUNCTION("""COMPUTED_VALUE"""),"LAKI-LAKI")</f>
        <v>LAKI-LAKI</v>
      </c>
      <c r="K1091" s="6" t="str">
        <f>IFERROR(__xludf.DUMMYFUNCTION("""COMPUTED_VALUE"""),"BTN  Grand Boulevard Regency Blok B14")</f>
        <v>BTN  Grand Boulevard Regency Blok B14</v>
      </c>
      <c r="R1091" s="7" t="str">
        <f>IFERROR(__xludf.DUMMYFUNCTION("""COMPUTED_VALUE"""),"K")</f>
        <v>K</v>
      </c>
    </row>
    <row r="1092" ht="22.5" customHeight="1">
      <c r="A1092" s="6">
        <v>1091.0</v>
      </c>
      <c r="B1092" s="6" t="str">
        <f>IFERROR(__xludf.DUMMYFUNCTION("""COMPUTED_VALUE"""),"Pembuatan Desain Grafis")</f>
        <v>Pembuatan Desain Grafis</v>
      </c>
      <c r="F1092" s="6" t="str">
        <f>IFERROR(__xludf.DUMMYFUNCTION("""COMPUTED_VALUE"""),"FARHAN HIDAYAT")</f>
        <v>FARHAN HIDAYAT</v>
      </c>
      <c r="G1092" s="6" t="str">
        <f>IFERROR(__xludf.DUMMYFUNCTION("""COMPUTED_VALUE"""),"6371032003030008")</f>
        <v>6371032003030008</v>
      </c>
      <c r="J1092" s="7" t="str">
        <f>IFERROR(__xludf.DUMMYFUNCTION("""COMPUTED_VALUE"""),"LAKI-LAKI")</f>
        <v>LAKI-LAKI</v>
      </c>
      <c r="K1092" s="6" t="str">
        <f>IFERROR(__xludf.DUMMYFUNCTION("""COMPUTED_VALUE"""),"Lr. Stai Jl. K.H. Syukur")</f>
        <v>Lr. Stai Jl. K.H. Syukur</v>
      </c>
      <c r="R1092" s="7" t="str">
        <f>IFERROR(__xludf.DUMMYFUNCTION("""COMPUTED_VALUE"""),"K")</f>
        <v>K</v>
      </c>
    </row>
    <row r="1093" ht="22.5" customHeight="1">
      <c r="A1093" s="6">
        <v>1092.0</v>
      </c>
      <c r="B1093" s="6" t="str">
        <f>IFERROR(__xludf.DUMMYFUNCTION("""COMPUTED_VALUE"""),"Pembuatan Desain Grafis")</f>
        <v>Pembuatan Desain Grafis</v>
      </c>
      <c r="F1093" s="6" t="str">
        <f>IFERROR(__xludf.DUMMYFUNCTION("""COMPUTED_VALUE"""),"Wanda")</f>
        <v>Wanda</v>
      </c>
      <c r="G1093" s="6" t="str">
        <f>IFERROR(__xludf.DUMMYFUNCTION("""COMPUTED_VALUE"""),"7404196812020003")</f>
        <v>7404196812020003</v>
      </c>
      <c r="J1093" s="7" t="str">
        <f>IFERROR(__xludf.DUMMYFUNCTION("""COMPUTED_VALUE"""),"PEREMPUAN")</f>
        <v>PEREMPUAN</v>
      </c>
      <c r="K1093" s="6" t="str">
        <f>IFERROR(__xludf.DUMMYFUNCTION("""COMPUTED_VALUE"""),"Kaofe, Kecamatan Kadatua, Kabupaten Buton Selatan")</f>
        <v>Kaofe, Kecamatan Kadatua, Kabupaten Buton Selatan</v>
      </c>
      <c r="R1093" s="7" t="str">
        <f>IFERROR(__xludf.DUMMYFUNCTION("""COMPUTED_VALUE"""),"K")</f>
        <v>K</v>
      </c>
    </row>
    <row r="1094" ht="22.5" customHeight="1">
      <c r="A1094" s="6">
        <v>1093.0</v>
      </c>
      <c r="B1094" s="6" t="str">
        <f>IFERROR(__xludf.DUMMYFUNCTION("""COMPUTED_VALUE"""),"Operator Komputer (Computer Operator")</f>
        <v>Operator Komputer (Computer Operator</v>
      </c>
      <c r="F1094" s="6" t="str">
        <f>IFERROR(__xludf.DUMMYFUNCTION("""COMPUTED_VALUE"""),"SITTI NUR HALIZA")</f>
        <v>SITTI NUR HALIZA</v>
      </c>
      <c r="G1094" s="6" t="str">
        <f>IFERROR(__xludf.DUMMYFUNCTION("""COMPUTED_VALUE"""),"7471095210020003")</f>
        <v>7471095210020003</v>
      </c>
      <c r="J1094" s="7" t="str">
        <f>IFERROR(__xludf.DUMMYFUNCTION("""COMPUTED_VALUE"""),"PEREMPUAN")</f>
        <v>PEREMPUAN</v>
      </c>
      <c r="K1094" s="6" t="str">
        <f>IFERROR(__xludf.DUMMYFUNCTION("""COMPUTED_VALUE"""),"Jl. Haeba Ujung No. 32")</f>
        <v>Jl. Haeba Ujung No. 32</v>
      </c>
      <c r="R1094" s="7" t="str">
        <f>IFERROR(__xludf.DUMMYFUNCTION("""COMPUTED_VALUE"""),"K")</f>
        <v>K</v>
      </c>
    </row>
    <row r="1095" ht="22.5" customHeight="1">
      <c r="A1095" s="6">
        <v>1094.0</v>
      </c>
      <c r="B1095" s="6" t="str">
        <f>IFERROR(__xludf.DUMMYFUNCTION("""COMPUTED_VALUE"""),"Operator Komputer (Computer Operator")</f>
        <v>Operator Komputer (Computer Operator</v>
      </c>
      <c r="F1095" s="6" t="str">
        <f>IFERROR(__xludf.DUMMYFUNCTION("""COMPUTED_VALUE"""),"Muhammad Akbar As'ad Ishaq")</f>
        <v>Muhammad Akbar As'ad Ishaq</v>
      </c>
      <c r="G1095" s="6" t="str">
        <f>IFERROR(__xludf.DUMMYFUNCTION("""COMPUTED_VALUE"""),"7471042106020003")</f>
        <v>7471042106020003</v>
      </c>
      <c r="J1095" s="7" t="str">
        <f>IFERROR(__xludf.DUMMYFUNCTION("""COMPUTED_VALUE"""),"LAKI-LAKI")</f>
        <v>LAKI-LAKI</v>
      </c>
      <c r="K1095" s="6" t="str">
        <f>IFERROR(__xludf.DUMMYFUNCTION("""COMPUTED_VALUE"""),"Btn Mahkota Hijau Blok H/9")</f>
        <v>Btn Mahkota Hijau Blok H/9</v>
      </c>
      <c r="R1095" s="7" t="str">
        <f>IFERROR(__xludf.DUMMYFUNCTION("""COMPUTED_VALUE"""),"K")</f>
        <v>K</v>
      </c>
    </row>
    <row r="1096" ht="22.5" customHeight="1">
      <c r="A1096" s="6">
        <v>1095.0</v>
      </c>
      <c r="B1096" s="6" t="str">
        <f>IFERROR(__xludf.DUMMYFUNCTION("""COMPUTED_VALUE"""),"Operator Komputer (Computer Operator")</f>
        <v>Operator Komputer (Computer Operator</v>
      </c>
      <c r="F1096" s="6" t="str">
        <f>IFERROR(__xludf.DUMMYFUNCTION("""COMPUTED_VALUE"""),"Nur Hirawati")</f>
        <v>Nur Hirawati</v>
      </c>
      <c r="G1096" s="6" t="str">
        <f>IFERROR(__xludf.DUMMYFUNCTION("""COMPUTED_VALUE"""),"7408024807030001")</f>
        <v>7408024807030001</v>
      </c>
      <c r="J1096" s="7" t="str">
        <f>IFERROR(__xludf.DUMMYFUNCTION("""COMPUTED_VALUE"""),"PEREMPUAN")</f>
        <v>PEREMPUAN</v>
      </c>
      <c r="K1096" s="6" t="str">
        <f>IFERROR(__xludf.DUMMYFUNCTION("""COMPUTED_VALUE"""),"Desa Lalume, Kecamatan Pakue, Kabupaten Kolaka Utara, Sulawesi Tenggara")</f>
        <v>Desa Lalume, Kecamatan Pakue, Kabupaten Kolaka Utara, Sulawesi Tenggara</v>
      </c>
      <c r="R1096" s="7" t="str">
        <f>IFERROR(__xludf.DUMMYFUNCTION("""COMPUTED_VALUE"""),"K")</f>
        <v>K</v>
      </c>
    </row>
    <row r="1097" ht="22.5" customHeight="1">
      <c r="A1097" s="6">
        <v>1096.0</v>
      </c>
      <c r="B1097" s="6" t="str">
        <f>IFERROR(__xludf.DUMMYFUNCTION("""COMPUTED_VALUE"""),"Operator Komputer (Computer Operator")</f>
        <v>Operator Komputer (Computer Operator</v>
      </c>
      <c r="F1097" s="6" t="str">
        <f>IFERROR(__xludf.DUMMYFUNCTION("""COMPUTED_VALUE"""),"NASRULLAH FATURACHMADDIN ")</f>
        <v>NASRULLAH FATURACHMADDIN </v>
      </c>
      <c r="G1097" s="6" t="str">
        <f>IFERROR(__xludf.DUMMYFUNCTION("""COMPUTED_VALUE"""),"9171020703030002")</f>
        <v>9171020703030002</v>
      </c>
      <c r="J1097" s="7" t="str">
        <f>IFERROR(__xludf.DUMMYFUNCTION("""COMPUTED_VALUE"""),"LAKI-LAKI")</f>
        <v>LAKI-LAKI</v>
      </c>
      <c r="K1097" s="6" t="str">
        <f>IFERROR(__xludf.DUMMYFUNCTION("""COMPUTED_VALUE"""),"JL. BUDI UTOMO NO.2 B")</f>
        <v>JL. BUDI UTOMO NO.2 B</v>
      </c>
      <c r="R1097" s="7" t="str">
        <f>IFERROR(__xludf.DUMMYFUNCTION("""COMPUTED_VALUE"""),"K")</f>
        <v>K</v>
      </c>
    </row>
    <row r="1098" ht="22.5" customHeight="1">
      <c r="A1098" s="6">
        <v>1097.0</v>
      </c>
      <c r="B1098" s="6" t="str">
        <f>IFERROR(__xludf.DUMMYFUNCTION("""COMPUTED_VALUE"""),"Operator Komputer (Computer Operator")</f>
        <v>Operator Komputer (Computer Operator</v>
      </c>
      <c r="F1098" s="6" t="str">
        <f>IFERROR(__xludf.DUMMYFUNCTION("""COMPUTED_VALUE"""),"WA ODE ULFA FIDARNI")</f>
        <v>WA ODE ULFA FIDARNI</v>
      </c>
      <c r="G1098" s="6" t="str">
        <f>IFERROR(__xludf.DUMMYFUNCTION("""COMPUTED_VALUE"""),"7404064108030001")</f>
        <v>7404064108030001</v>
      </c>
      <c r="J1098" s="7" t="str">
        <f>IFERROR(__xludf.DUMMYFUNCTION("""COMPUTED_VALUE"""),"PEREMPUAN")</f>
        <v>PEREMPUAN</v>
      </c>
      <c r="K1098" s="6" t="str">
        <f>IFERROR(__xludf.DUMMYFUNCTION("""COMPUTED_VALUE"""),"Jl. Bataraguru, Kel. Bataraguru, Kec. Wolio, Kota Baubau, Sulawesi Tenggara")</f>
        <v>Jl. Bataraguru, Kel. Bataraguru, Kec. Wolio, Kota Baubau, Sulawesi Tenggara</v>
      </c>
      <c r="R1098" s="7" t="str">
        <f>IFERROR(__xludf.DUMMYFUNCTION("""COMPUTED_VALUE"""),"K")</f>
        <v>K</v>
      </c>
    </row>
    <row r="1099" ht="22.5" customHeight="1">
      <c r="A1099" s="6">
        <v>1098.0</v>
      </c>
      <c r="B1099" s="6" t="str">
        <f>IFERROR(__xludf.DUMMYFUNCTION("""COMPUTED_VALUE"""),"Operator Komputer (Computer Operator")</f>
        <v>Operator Komputer (Computer Operator</v>
      </c>
      <c r="F1099" s="6" t="str">
        <f>IFERROR(__xludf.DUMMYFUNCTION("""COMPUTED_VALUE"""),"Rahul Hadi Prayitno ")</f>
        <v>Rahul Hadi Prayitno </v>
      </c>
      <c r="G1099" s="6" t="str">
        <f>IFERROR(__xludf.DUMMYFUNCTION("""COMPUTED_VALUE"""),"7410042106030001")</f>
        <v>7410042106030001</v>
      </c>
      <c r="J1099" s="7" t="str">
        <f>IFERROR(__xludf.DUMMYFUNCTION("""COMPUTED_VALUE"""),"LAKI-LAKI")</f>
        <v>LAKI-LAKI</v>
      </c>
      <c r="K1099" s="6" t="str">
        <f>IFERROR(__xludf.DUMMYFUNCTION("""COMPUTED_VALUE"""),"BTN palagimata no 1 blok 2")</f>
        <v>BTN palagimata no 1 blok 2</v>
      </c>
      <c r="R1099" s="7" t="str">
        <f>IFERROR(__xludf.DUMMYFUNCTION("""COMPUTED_VALUE"""),"K")</f>
        <v>K</v>
      </c>
    </row>
    <row r="1100" ht="22.5" customHeight="1">
      <c r="A1100" s="6">
        <v>1099.0</v>
      </c>
      <c r="B1100" s="6" t="str">
        <f>IFERROR(__xludf.DUMMYFUNCTION("""COMPUTED_VALUE"""),"Penyusunan Laporan Keuangan Untuk Pemula")</f>
        <v>Penyusunan Laporan Keuangan Untuk Pemula</v>
      </c>
      <c r="F1100" s="6" t="str">
        <f>IFERROR(__xludf.DUMMYFUNCTION("""COMPUTED_VALUE"""),"Fachrul Fachrozi Basrah")</f>
        <v>Fachrul Fachrozi Basrah</v>
      </c>
      <c r="G1100" s="6" t="str">
        <f>IFERROR(__xludf.DUMMYFUNCTION("""COMPUTED_VALUE"""),"7371030810030004")</f>
        <v>7371030810030004</v>
      </c>
      <c r="J1100" s="7" t="str">
        <f>IFERROR(__xludf.DUMMYFUNCTION("""COMPUTED_VALUE"""),"LAKI-LAKI")</f>
        <v>LAKI-LAKI</v>
      </c>
      <c r="K1100" s="6" t="str">
        <f>IFERROR(__xludf.DUMMYFUNCTION("""COMPUTED_VALUE"""),"Jl. Toddopuli 15 Baru")</f>
        <v>Jl. Toddopuli 15 Baru</v>
      </c>
      <c r="R1100" s="7" t="str">
        <f>IFERROR(__xludf.DUMMYFUNCTION("""COMPUTED_VALUE"""),"K")</f>
        <v>K</v>
      </c>
    </row>
    <row r="1101" ht="22.5" customHeight="1">
      <c r="A1101" s="6">
        <v>1100.0</v>
      </c>
      <c r="B1101" s="6" t="str">
        <f>IFERROR(__xludf.DUMMYFUNCTION("""COMPUTED_VALUE"""),"Penyusunan Laporan Keuangan Untuk Pemula")</f>
        <v>Penyusunan Laporan Keuangan Untuk Pemula</v>
      </c>
      <c r="F1101" s="6" t="str">
        <f>IFERROR(__xludf.DUMMYFUNCTION("""COMPUTED_VALUE"""),"Siska Kasmaniar Husrani")</f>
        <v>Siska Kasmaniar Husrani</v>
      </c>
      <c r="G1101" s="6" t="str">
        <f>IFERROR(__xludf.DUMMYFUNCTION("""COMPUTED_VALUE"""),"7472016505030003")</f>
        <v>7472016505030003</v>
      </c>
      <c r="J1101" s="7" t="str">
        <f>IFERROR(__xludf.DUMMYFUNCTION("""COMPUTED_VALUE"""),"PEREMPUAN")</f>
        <v>PEREMPUAN</v>
      </c>
      <c r="K1101" s="6" t="str">
        <f>IFERROR(__xludf.DUMMYFUNCTION("""COMPUTED_VALUE"""),"Jl. Limbo Wolio, No.3, Kel.Lipu, Kec.Betoambari, Kota BauBau")</f>
        <v>Jl. Limbo Wolio, No.3, Kel.Lipu, Kec.Betoambari, Kota BauBau</v>
      </c>
      <c r="R1101" s="7" t="str">
        <f>IFERROR(__xludf.DUMMYFUNCTION("""COMPUTED_VALUE"""),"K")</f>
        <v>K</v>
      </c>
    </row>
    <row r="1102" ht="22.5" customHeight="1">
      <c r="A1102" s="6">
        <v>1101.0</v>
      </c>
      <c r="B1102" s="6" t="str">
        <f>IFERROR(__xludf.DUMMYFUNCTION("""COMPUTED_VALUE"""),"Penyusunan Laporan Keuangan Untuk Pemula")</f>
        <v>Penyusunan Laporan Keuangan Untuk Pemula</v>
      </c>
      <c r="F1102" s="6" t="str">
        <f>IFERROR(__xludf.DUMMYFUNCTION("""COMPUTED_VALUE"""),"Dikna Dwicolyn Malik")</f>
        <v>Dikna Dwicolyn Malik</v>
      </c>
      <c r="G1102" s="6" t="str">
        <f>IFERROR(__xludf.DUMMYFUNCTION("""COMPUTED_VALUE"""),"7403154403010001")</f>
        <v>7403154403010001</v>
      </c>
      <c r="J1102" s="7" t="str">
        <f>IFERROR(__xludf.DUMMYFUNCTION("""COMPUTED_VALUE"""),"PEREMPUAN")</f>
        <v>PEREMPUAN</v>
      </c>
      <c r="K1102" s="6" t="str">
        <f>IFERROR(__xludf.DUMMYFUNCTION("""COMPUTED_VALUE"""),"BOULVARD-BRISTOWN HOUSE")</f>
        <v>BOULVARD-BRISTOWN HOUSE</v>
      </c>
      <c r="R1102" s="7" t="str">
        <f>IFERROR(__xludf.DUMMYFUNCTION("""COMPUTED_VALUE"""),"K")</f>
        <v>K</v>
      </c>
    </row>
    <row r="1103" ht="22.5" customHeight="1">
      <c r="A1103" s="6">
        <v>1102.0</v>
      </c>
      <c r="B1103" s="6" t="str">
        <f>IFERROR(__xludf.DUMMYFUNCTION("""COMPUTED_VALUE"""),"Asisten Pengembangan Web (Assistant Web Developer)")</f>
        <v>Asisten Pengembangan Web (Assistant Web Developer)</v>
      </c>
      <c r="F1103" s="6" t="str">
        <f>IFERROR(__xludf.DUMMYFUNCTION("""COMPUTED_VALUE"""),"SYADAD RIFA'AH SYAIFULLAH")</f>
        <v>SYADAD RIFA'AH SYAIFULLAH</v>
      </c>
      <c r="G1103" s="6" t="str">
        <f>IFERROR(__xludf.DUMMYFUNCTION("""COMPUTED_VALUE"""),"7471051209020001")</f>
        <v>7471051209020001</v>
      </c>
      <c r="J1103" s="7" t="str">
        <f>IFERROR(__xludf.DUMMYFUNCTION("""COMPUTED_VALUE"""),"LAKI-LAKI")</f>
        <v>LAKI-LAKI</v>
      </c>
      <c r="K1103" s="6" t="str">
        <f>IFERROR(__xludf.DUMMYFUNCTION("""COMPUTED_VALUE"""),"Jalan Tupai, Tipulu, Kec. Kendari Barat")</f>
        <v>Jalan Tupai, Tipulu, Kec. Kendari Barat</v>
      </c>
      <c r="R1103" s="7" t="str">
        <f>IFERROR(__xludf.DUMMYFUNCTION("""COMPUTED_VALUE"""),"K")</f>
        <v>K</v>
      </c>
    </row>
    <row r="1104" ht="22.5" customHeight="1">
      <c r="A1104" s="6">
        <v>1103.0</v>
      </c>
      <c r="B1104" s="6" t="str">
        <f>IFERROR(__xludf.DUMMYFUNCTION("""COMPUTED_VALUE"""),"Asisten Pengembangan Web (Assistant Web Developer)")</f>
        <v>Asisten Pengembangan Web (Assistant Web Developer)</v>
      </c>
      <c r="F1104" s="6" t="str">
        <f>IFERROR(__xludf.DUMMYFUNCTION("""COMPUTED_VALUE"""),"Salsabila Qodriyah")</f>
        <v>Salsabila Qodriyah</v>
      </c>
      <c r="G1104" s="6" t="str">
        <f>IFERROR(__xludf.DUMMYFUNCTION("""COMPUTED_VALUE"""),"7403035806030202")</f>
        <v>7403035806030202</v>
      </c>
      <c r="J1104" s="7" t="str">
        <f>IFERROR(__xludf.DUMMYFUNCTION("""COMPUTED_VALUE"""),"PEREMPUAN")</f>
        <v>PEREMPUAN</v>
      </c>
      <c r="K1104" s="6" t="str">
        <f>IFERROR(__xludf.DUMMYFUNCTION("""COMPUTED_VALUE"""),"Lingkungan Benteng, Kel. Waumere, Kec. Tikep, Kab. Muna Barat")</f>
        <v>Lingkungan Benteng, Kel. Waumere, Kec. Tikep, Kab. Muna Barat</v>
      </c>
      <c r="R1104" s="7" t="str">
        <f>IFERROR(__xludf.DUMMYFUNCTION("""COMPUTED_VALUE"""),"K")</f>
        <v>K</v>
      </c>
    </row>
    <row r="1105" ht="22.5" customHeight="1">
      <c r="A1105" s="6">
        <v>1104.0</v>
      </c>
      <c r="B1105" s="6" t="str">
        <f>IFERROR(__xludf.DUMMYFUNCTION("""COMPUTED_VALUE"""),"Petugas Keselematan dan Kesehatan Kerja")</f>
        <v>Petugas Keselematan dan Kesehatan Kerja</v>
      </c>
      <c r="F1105" s="6" t="str">
        <f>IFERROR(__xludf.DUMMYFUNCTION("""COMPUTED_VALUE"""),"WA ODE EKA APRIANA SARI")</f>
        <v>WA ODE EKA APRIANA SARI</v>
      </c>
      <c r="G1105" s="6" t="str">
        <f>IFERROR(__xludf.DUMMYFUNCTION("""COMPUTED_VALUE"""),"9104075709020001")</f>
        <v>9104075709020001</v>
      </c>
      <c r="J1105" s="7" t="str">
        <f>IFERROR(__xludf.DUMMYFUNCTION("""COMPUTED_VALUE"""),"PEREMPUAN")</f>
        <v>PEREMPUAN</v>
      </c>
      <c r="K1105" s="6" t="str">
        <f>IFERROR(__xludf.DUMMYFUNCTION("""COMPUTED_VALUE"""),"Desa Labaha, RT 002/ RW 002/, Kecamatan Watopute, Kabupaten Muna, Provinsi Sulawesi Tenggara ")</f>
        <v>Desa Labaha, RT 002/ RW 002/, Kecamatan Watopute, Kabupaten Muna, Provinsi Sulawesi Tenggara </v>
      </c>
      <c r="R1105" s="7" t="str">
        <f>IFERROR(__xludf.DUMMYFUNCTION("""COMPUTED_VALUE"""),"K")</f>
        <v>K</v>
      </c>
    </row>
    <row r="1106" ht="22.5" customHeight="1">
      <c r="A1106" s="6">
        <v>1105.0</v>
      </c>
      <c r="B1106" s="6" t="str">
        <f>IFERROR(__xludf.DUMMYFUNCTION("""COMPUTED_VALUE"""),"Petugas Keselematan dan Kesehatan Kerja")</f>
        <v>Petugas Keselematan dan Kesehatan Kerja</v>
      </c>
      <c r="F1106" s="6" t="str">
        <f>IFERROR(__xludf.DUMMYFUNCTION("""COMPUTED_VALUE"""),"Rizki Nur Alfiyan ")</f>
        <v>Rizki Nur Alfiyan </v>
      </c>
      <c r="G1106" s="6" t="str">
        <f>IFERROR(__xludf.DUMMYFUNCTION("""COMPUTED_VALUE"""),"7471080708030002")</f>
        <v>7471080708030002</v>
      </c>
      <c r="J1106" s="7" t="str">
        <f>IFERROR(__xludf.DUMMYFUNCTION("""COMPUTED_VALUE"""),"LAKI-LAKI")</f>
        <v>LAKI-LAKI</v>
      </c>
      <c r="K1106" s="6" t="str">
        <f>IFERROR(__xludf.DUMMYFUNCTION("""COMPUTED_VALUE"""),"Jl. Abunawas VII")</f>
        <v>Jl. Abunawas VII</v>
      </c>
      <c r="R1106" s="7" t="str">
        <f>IFERROR(__xludf.DUMMYFUNCTION("""COMPUTED_VALUE"""),"K")</f>
        <v>K</v>
      </c>
    </row>
    <row r="1107" ht="22.5" customHeight="1">
      <c r="A1107" s="6">
        <v>1106.0</v>
      </c>
      <c r="B1107" s="6" t="str">
        <f>IFERROR(__xludf.DUMMYFUNCTION("""COMPUTED_VALUE"""),"Petugas Keselematan dan Kesehatan Kerja")</f>
        <v>Petugas Keselematan dan Kesehatan Kerja</v>
      </c>
      <c r="F1107" s="6" t="str">
        <f>IFERROR(__xludf.DUMMYFUNCTION("""COMPUTED_VALUE"""),"DWI OKTAVIA SETIAWATI")</f>
        <v>DWI OKTAVIA SETIAWATI</v>
      </c>
      <c r="G1107" s="6" t="str">
        <f>IFERROR(__xludf.DUMMYFUNCTION("""COMPUTED_VALUE"""),"7405044110030001")</f>
        <v>7405044110030001</v>
      </c>
      <c r="J1107" s="7" t="str">
        <f>IFERROR(__xludf.DUMMYFUNCTION("""COMPUTED_VALUE"""),"PEREMPUAN")</f>
        <v>PEREMPUAN</v>
      </c>
      <c r="K1107" s="6" t="str">
        <f>IFERROR(__xludf.DUMMYFUNCTION("""COMPUTED_VALUE"""),"Dusun Bangun sari Desa mekar sari Kec. Palangga Kab. Konawe selatan")</f>
        <v>Dusun Bangun sari Desa mekar sari Kec. Palangga Kab. Konawe selatan</v>
      </c>
      <c r="R1107" s="7" t="str">
        <f>IFERROR(__xludf.DUMMYFUNCTION("""COMPUTED_VALUE"""),"K")</f>
        <v>K</v>
      </c>
    </row>
    <row r="1108" ht="22.5" customHeight="1">
      <c r="A1108" s="6">
        <v>1107.0</v>
      </c>
      <c r="B1108" s="6" t="str">
        <f>IFERROR(__xludf.DUMMYFUNCTION("""COMPUTED_VALUE"""),"Petugas Keselematan dan Kesehatan Kerja")</f>
        <v>Petugas Keselematan dan Kesehatan Kerja</v>
      </c>
      <c r="F1108" s="6" t="str">
        <f>IFERROR(__xludf.DUMMYFUNCTION("""COMPUTED_VALUE"""),"Sitti Normalindah")</f>
        <v>Sitti Normalindah</v>
      </c>
      <c r="G1108" s="6" t="str">
        <f>IFERROR(__xludf.DUMMYFUNCTION("""COMPUTED_VALUE"""),"7403225705030201")</f>
        <v>7403225705030201</v>
      </c>
      <c r="J1108" s="7" t="str">
        <f>IFERROR(__xludf.DUMMYFUNCTION("""COMPUTED_VALUE"""),"PEREMPUAN")</f>
        <v>PEREMPUAN</v>
      </c>
      <c r="K1108" s="6" t="str">
        <f>IFERROR(__xludf.DUMMYFUNCTION("""COMPUTED_VALUE"""),"Desa Labasa, Kecamatan Tongkuno Selatan, Kabupaten Muna")</f>
        <v>Desa Labasa, Kecamatan Tongkuno Selatan, Kabupaten Muna</v>
      </c>
      <c r="R1108" s="7" t="str">
        <f>IFERROR(__xludf.DUMMYFUNCTION("""COMPUTED_VALUE"""),"K")</f>
        <v>K</v>
      </c>
    </row>
    <row r="1109" ht="22.5" customHeight="1">
      <c r="A1109" s="6">
        <v>1108.0</v>
      </c>
      <c r="B1109" s="6" t="str">
        <f>IFERROR(__xludf.DUMMYFUNCTION("""COMPUTED_VALUE"""),"Petugas Keselematan dan Kesehatan Kerja")</f>
        <v>Petugas Keselematan dan Kesehatan Kerja</v>
      </c>
      <c r="F1109" s="6" t="str">
        <f>IFERROR(__xludf.DUMMYFUNCTION("""COMPUTED_VALUE"""),"Esti Agusrianti")</f>
        <v>Esti Agusrianti</v>
      </c>
      <c r="G1109" s="6" t="str">
        <f>IFERROR(__xludf.DUMMYFUNCTION("""COMPUTED_VALUE"""),"7471065708030001")</f>
        <v>7471065708030001</v>
      </c>
      <c r="J1109" s="7" t="str">
        <f>IFERROR(__xludf.DUMMYFUNCTION("""COMPUTED_VALUE"""),"PEREMPUAN")</f>
        <v>PEREMPUAN</v>
      </c>
      <c r="K1109" s="6" t="str">
        <f>IFERROR(__xludf.DUMMYFUNCTION("""COMPUTED_VALUE"""),"Kelurahan Benuanirae")</f>
        <v>Kelurahan Benuanirae</v>
      </c>
      <c r="R1109" s="7" t="str">
        <f>IFERROR(__xludf.DUMMYFUNCTION("""COMPUTED_VALUE"""),"K")</f>
        <v>K</v>
      </c>
    </row>
    <row r="1110" ht="22.5" customHeight="1">
      <c r="A1110" s="6">
        <v>1109.0</v>
      </c>
      <c r="B1110" s="6" t="str">
        <f>IFERROR(__xludf.DUMMYFUNCTION("""COMPUTED_VALUE"""),"Petugas Keselematan dan Kesehatan Kerja")</f>
        <v>Petugas Keselematan dan Kesehatan Kerja</v>
      </c>
      <c r="F1110" s="6" t="str">
        <f>IFERROR(__xludf.DUMMYFUNCTION("""COMPUTED_VALUE"""),"Moh. Zulfikar")</f>
        <v>Moh. Zulfikar</v>
      </c>
      <c r="G1110" s="6" t="str">
        <f>IFERROR(__xludf.DUMMYFUNCTION("""COMPUTED_VALUE"""),"7203102401000005")</f>
        <v>7203102401000005</v>
      </c>
      <c r="J1110" s="7" t="str">
        <f>IFERROR(__xludf.DUMMYFUNCTION("""COMPUTED_VALUE"""),"LAKI-LAKI")</f>
        <v>LAKI-LAKI</v>
      </c>
      <c r="K1110" s="6" t="str">
        <f>IFERROR(__xludf.DUMMYFUNCTION("""COMPUTED_VALUE"""),"Jl. Puskesmas Dusun III")</f>
        <v>Jl. Puskesmas Dusun III</v>
      </c>
      <c r="R1110" s="7" t="str">
        <f>IFERROR(__xludf.DUMMYFUNCTION("""COMPUTED_VALUE"""),"BK")</f>
        <v>BK</v>
      </c>
    </row>
    <row r="1111" ht="22.5" customHeight="1">
      <c r="A1111" s="6">
        <v>1110.0</v>
      </c>
      <c r="B1111" s="6" t="str">
        <f>IFERROR(__xludf.DUMMYFUNCTION("""COMPUTED_VALUE"""),"Petugas Keselematan dan Kesehatan Kerja")</f>
        <v>Petugas Keselematan dan Kesehatan Kerja</v>
      </c>
      <c r="F1111" s="6" t="str">
        <f>IFERROR(__xludf.DUMMYFUNCTION("""COMPUTED_VALUE"""),"Misyuni Sartika ")</f>
        <v>Misyuni Sartika </v>
      </c>
      <c r="G1111" s="6" t="str">
        <f>IFERROR(__xludf.DUMMYFUNCTION("""COMPUTED_VALUE"""),"7404114306030001")</f>
        <v>7404114306030001</v>
      </c>
      <c r="J1111" s="7" t="str">
        <f>IFERROR(__xludf.DUMMYFUNCTION("""COMPUTED_VALUE"""),"PEREMPUAN")</f>
        <v>PEREMPUAN</v>
      </c>
      <c r="K1111" s="6" t="str">
        <f>IFERROR(__xludf.DUMMYFUNCTION("""COMPUTED_VALUE"""),"Desa dongkala, kecamatan pasarwajo")</f>
        <v>Desa dongkala, kecamatan pasarwajo</v>
      </c>
      <c r="R1111" s="7" t="str">
        <f>IFERROR(__xludf.DUMMYFUNCTION("""COMPUTED_VALUE"""),"BK")</f>
        <v>BK</v>
      </c>
    </row>
    <row r="1112" ht="22.5" customHeight="1">
      <c r="A1112" s="6">
        <v>1111.0</v>
      </c>
      <c r="B1112" s="6" t="str">
        <f>IFERROR(__xludf.DUMMYFUNCTION("""COMPUTED_VALUE"""),"Petugas Keselematan dan Kesehatan Kerja")</f>
        <v>Petugas Keselematan dan Kesehatan Kerja</v>
      </c>
      <c r="F1112" s="6" t="str">
        <f>IFERROR(__xludf.DUMMYFUNCTION("""COMPUTED_VALUE"""),"Multi Viorera")</f>
        <v>Multi Viorera</v>
      </c>
      <c r="G1112" s="6" t="str">
        <f>IFERROR(__xludf.DUMMYFUNCTION("""COMPUTED_VALUE"""),"7403144907080001")</f>
        <v>7403144907080001</v>
      </c>
      <c r="J1112" s="7" t="str">
        <f>IFERROR(__xludf.DUMMYFUNCTION("""COMPUTED_VALUE"""),"PEREMPUAN")</f>
        <v>PEREMPUAN</v>
      </c>
      <c r="K1112" s="6" t="str">
        <f>IFERROR(__xludf.DUMMYFUNCTION("""COMPUTED_VALUE"""),"Desa Labaha")</f>
        <v>Desa Labaha</v>
      </c>
      <c r="R1112" s="7" t="str">
        <f>IFERROR(__xludf.DUMMYFUNCTION("""COMPUTED_VALUE"""),"BK")</f>
        <v>BK</v>
      </c>
    </row>
    <row r="1113" ht="22.5" customHeight="1">
      <c r="A1113" s="6">
        <v>1112.0</v>
      </c>
      <c r="B1113" s="6" t="str">
        <f>IFERROR(__xludf.DUMMYFUNCTION("""COMPUTED_VALUE"""),"Petugas Keselematan dan Kesehatan Kerja")</f>
        <v>Petugas Keselematan dan Kesehatan Kerja</v>
      </c>
      <c r="F1113" s="6" t="str">
        <f>IFERROR(__xludf.DUMMYFUNCTION("""COMPUTED_VALUE"""),"Secsio Jezzy Wandani")</f>
        <v>Secsio Jezzy Wandani</v>
      </c>
      <c r="G1113" s="6" t="str">
        <f>IFERROR(__xludf.DUMMYFUNCTION("""COMPUTED_VALUE"""),"7406046106030002")</f>
        <v>7406046106030002</v>
      </c>
      <c r="J1113" s="7" t="str">
        <f>IFERROR(__xludf.DUMMYFUNCTION("""COMPUTED_VALUE"""),"PEREMPUAN")</f>
        <v>PEREMPUAN</v>
      </c>
      <c r="K1113" s="6" t="str">
        <f>IFERROR(__xludf.DUMMYFUNCTION("""COMPUTED_VALUE"""),"Lameroro")</f>
        <v>Lameroro</v>
      </c>
      <c r="R1113" s="7" t="str">
        <f>IFERROR(__xludf.DUMMYFUNCTION("""COMPUTED_VALUE"""),"BK")</f>
        <v>BK</v>
      </c>
    </row>
    <row r="1114" ht="22.5" customHeight="1">
      <c r="A1114" s="6">
        <v>1113.0</v>
      </c>
      <c r="B1114" s="6" t="str">
        <f>IFERROR(__xludf.DUMMYFUNCTION("""COMPUTED_VALUE"""),"Petugas Keselematan dan Kesehatan Kerja")</f>
        <v>Petugas Keselematan dan Kesehatan Kerja</v>
      </c>
      <c r="F1114" s="6" t="str">
        <f>IFERROR(__xludf.DUMMYFUNCTION("""COMPUTED_VALUE"""),"Rindi Saputri")</f>
        <v>Rindi Saputri</v>
      </c>
      <c r="G1114" s="6" t="str">
        <f>IFERROR(__xludf.DUMMYFUNCTION("""COMPUTED_VALUE"""),"7472024707040002")</f>
        <v>7472024707040002</v>
      </c>
      <c r="J1114" s="7" t="str">
        <f>IFERROR(__xludf.DUMMYFUNCTION("""COMPUTED_VALUE"""),"PEREMPUAN")</f>
        <v>PEREMPUAN</v>
      </c>
      <c r="K1114" s="6" t="str">
        <f>IFERROR(__xludf.DUMMYFUNCTION("""COMPUTED_VALUE"""),"Jl. Gatot Subroto")</f>
        <v>Jl. Gatot Subroto</v>
      </c>
      <c r="R1114" s="7" t="str">
        <f>IFERROR(__xludf.DUMMYFUNCTION("""COMPUTED_VALUE"""),"BK")</f>
        <v>BK</v>
      </c>
    </row>
    <row r="1115" ht="22.5" customHeight="1">
      <c r="A1115" s="6">
        <v>1114.0</v>
      </c>
      <c r="B1115" s="6" t="str">
        <f>IFERROR(__xludf.DUMMYFUNCTION("""COMPUTED_VALUE"""),"Petugas Keselematan dan Kesehatan Kerja")</f>
        <v>Petugas Keselematan dan Kesehatan Kerja</v>
      </c>
      <c r="F1115" s="6" t="str">
        <f>IFERROR(__xludf.DUMMYFUNCTION("""COMPUTED_VALUE"""),"Ronald Resky As")</f>
        <v>Ronald Resky As</v>
      </c>
      <c r="G1115" s="6" t="str">
        <f>IFERROR(__xludf.DUMMYFUNCTION("""COMPUTED_VALUE"""),"7405090201030001")</f>
        <v>7405090201030001</v>
      </c>
      <c r="J1115" s="7" t="str">
        <f>IFERROR(__xludf.DUMMYFUNCTION("""COMPUTED_VALUE"""),"LAKI-LAKI")</f>
        <v>LAKI-LAKI</v>
      </c>
      <c r="K1115" s="6" t="str">
        <f>IFERROR(__xludf.DUMMYFUNCTION("""COMPUTED_VALUE"""),"Mondoe Jaya, Dusun 4")</f>
        <v>Mondoe Jaya, Dusun 4</v>
      </c>
      <c r="R1115" s="7" t="str">
        <f>IFERROR(__xludf.DUMMYFUNCTION("""COMPUTED_VALUE"""),"BK")</f>
        <v>BK</v>
      </c>
    </row>
    <row r="1116" ht="22.5" customHeight="1">
      <c r="A1116" s="6">
        <v>1115.0</v>
      </c>
      <c r="B1116" s="6" t="str">
        <f>IFERROR(__xludf.DUMMYFUNCTION("""COMPUTED_VALUE"""),"Petugas Keselematan dan Kesehatan Kerja")</f>
        <v>Petugas Keselematan dan Kesehatan Kerja</v>
      </c>
      <c r="F1116" s="6" t="str">
        <f>IFERROR(__xludf.DUMMYFUNCTION("""COMPUTED_VALUE"""),"Indah Asriani Firman")</f>
        <v>Indah Asriani Firman</v>
      </c>
      <c r="G1116" s="6" t="str">
        <f>IFERROR(__xludf.DUMMYFUNCTION("""COMPUTED_VALUE"""),"7472026504030002")</f>
        <v>7472026504030002</v>
      </c>
      <c r="J1116" s="7" t="str">
        <f>IFERROR(__xludf.DUMMYFUNCTION("""COMPUTED_VALUE"""),"PEREMPUAN")</f>
        <v>PEREMPUAN</v>
      </c>
      <c r="K1116" s="6" t="str">
        <f>IFERROR(__xludf.DUMMYFUNCTION("""COMPUTED_VALUE"""),"JL.Bhakti Abri")</f>
        <v>JL.Bhakti Abri</v>
      </c>
      <c r="R1116" s="7" t="str">
        <f>IFERROR(__xludf.DUMMYFUNCTION("""COMPUTED_VALUE"""),"BK")</f>
        <v>BK</v>
      </c>
    </row>
    <row r="1117" ht="22.5" customHeight="1">
      <c r="A1117" s="6">
        <v>1116.0</v>
      </c>
      <c r="B1117" s="6" t="str">
        <f>IFERROR(__xludf.DUMMYFUNCTION("""COMPUTED_VALUE"""),"Pengelolaan Administrasi Perkantoraan")</f>
        <v>Pengelolaan Administrasi Perkantoraan</v>
      </c>
      <c r="F1117" s="6" t="str">
        <f>IFERROR(__xludf.DUMMYFUNCTION("""COMPUTED_VALUE"""),"Ishak Zakariah Rante")</f>
        <v>Ishak Zakariah Rante</v>
      </c>
      <c r="G1117" s="6" t="str">
        <f>IFERROR(__xludf.DUMMYFUNCTION("""COMPUTED_VALUE"""),"7472062012010002")</f>
        <v>7472062012010002</v>
      </c>
      <c r="J1117" s="7" t="str">
        <f>IFERROR(__xludf.DUMMYFUNCTION("""COMPUTED_VALUE"""),"LAKI-LAKI")</f>
        <v>LAKI-LAKI</v>
      </c>
      <c r="K1117" s="6" t="str">
        <f>IFERROR(__xludf.DUMMYFUNCTION("""COMPUTED_VALUE"""),"Jl. Pendidikan, kel. Bone-bone, kec. Batupoaro, Kota Baubau")</f>
        <v>Jl. Pendidikan, kel. Bone-bone, kec. Batupoaro, Kota Baubau</v>
      </c>
      <c r="R1117" s="7" t="str">
        <f>IFERROR(__xludf.DUMMYFUNCTION("""COMPUTED_VALUE"""),"K")</f>
        <v>K</v>
      </c>
    </row>
    <row r="1118" ht="22.5" customHeight="1">
      <c r="A1118" s="6">
        <v>1117.0</v>
      </c>
      <c r="B1118" s="6" t="str">
        <f>IFERROR(__xludf.DUMMYFUNCTION("""COMPUTED_VALUE"""),"Pengelolaan Administrasi Perkantoraan")</f>
        <v>Pengelolaan Administrasi Perkantoraan</v>
      </c>
      <c r="F1118" s="6" t="str">
        <f>IFERROR(__xludf.DUMMYFUNCTION("""COMPUTED_VALUE"""),"MUH. AMTSAL BIN SAMSULI ")</f>
        <v>MUH. AMTSAL BIN SAMSULI </v>
      </c>
      <c r="G1118" s="6" t="str">
        <f>IFERROR(__xludf.DUMMYFUNCTION("""COMPUTED_VALUE"""),"8205041207010001")</f>
        <v>8205041207010001</v>
      </c>
      <c r="J1118" s="7" t="str">
        <f>IFERROR(__xludf.DUMMYFUNCTION("""COMPUTED_VALUE"""),"LAKI-LAKI")</f>
        <v>LAKI-LAKI</v>
      </c>
      <c r="K1118" s="6" t="str">
        <f>IFERROR(__xludf.DUMMYFUNCTION("""COMPUTED_VALUE"""),"Jl. Bataraguru RT014/RW 004 Kel. Nganganaumala, Kec. Batupuaro, Kota. Baubau, Prov. Sulawesi Tenggara")</f>
        <v>Jl. Bataraguru RT014/RW 004 Kel. Nganganaumala, Kec. Batupuaro, Kota. Baubau, Prov. Sulawesi Tenggara</v>
      </c>
      <c r="R1118" s="7" t="str">
        <f>IFERROR(__xludf.DUMMYFUNCTION("""COMPUTED_VALUE"""),"K")</f>
        <v>K</v>
      </c>
    </row>
    <row r="1119" ht="22.5" customHeight="1">
      <c r="A1119" s="6">
        <v>1118.0</v>
      </c>
      <c r="B1119" s="6" t="str">
        <f>IFERROR(__xludf.DUMMYFUNCTION("""COMPUTED_VALUE"""),"Pengelolaan Administrasi Perkantoraan")</f>
        <v>Pengelolaan Administrasi Perkantoraan</v>
      </c>
      <c r="F1119" s="6" t="str">
        <f>IFERROR(__xludf.DUMMYFUNCTION("""COMPUTED_VALUE"""),"Nur Ainun Musliah")</f>
        <v>Nur Ainun Musliah</v>
      </c>
      <c r="G1119" s="6" t="str">
        <f>IFERROR(__xludf.DUMMYFUNCTION("""COMPUTED_VALUE"""),"7472064501020001")</f>
        <v>7472064501020001</v>
      </c>
      <c r="J1119" s="7" t="str">
        <f>IFERROR(__xludf.DUMMYFUNCTION("""COMPUTED_VALUE"""),"PEREMPUAN")</f>
        <v>PEREMPUAN</v>
      </c>
      <c r="K1119" s="6" t="str">
        <f>IFERROR(__xludf.DUMMYFUNCTION("""COMPUTED_VALUE"""),"Jl. Limbo Wolio, Kel Tanganapada Kec. Murhum ")</f>
        <v>Jl. Limbo Wolio, Kel Tanganapada Kec. Murhum </v>
      </c>
      <c r="R1119" s="7" t="str">
        <f>IFERROR(__xludf.DUMMYFUNCTION("""COMPUTED_VALUE"""),"K")</f>
        <v>K</v>
      </c>
    </row>
    <row r="1120" ht="22.5" customHeight="1">
      <c r="A1120" s="6">
        <v>1119.0</v>
      </c>
      <c r="B1120" s="6" t="str">
        <f>IFERROR(__xludf.DUMMYFUNCTION("""COMPUTED_VALUE"""),"Pengelolaan Administrasi Perkantoraan")</f>
        <v>Pengelolaan Administrasi Perkantoraan</v>
      </c>
      <c r="F1120" s="6" t="str">
        <f>IFERROR(__xludf.DUMMYFUNCTION("""COMPUTED_VALUE"""),"Ramlan")</f>
        <v>Ramlan</v>
      </c>
      <c r="G1120" s="6" t="str">
        <f>IFERROR(__xludf.DUMMYFUNCTION("""COMPUTED_VALUE"""),"7404115311020003")</f>
        <v>7404115311020003</v>
      </c>
      <c r="J1120" s="7" t="str">
        <f>IFERROR(__xludf.DUMMYFUNCTION("""COMPUTED_VALUE"""),"PEREMPUAN")</f>
        <v>PEREMPUAN</v>
      </c>
      <c r="K1120" s="6" t="str">
        <f>IFERROR(__xludf.DUMMYFUNCTION("""COMPUTED_VALUE"""),"Desa Kaongkeongkea")</f>
        <v>Desa Kaongkeongkea</v>
      </c>
      <c r="R1120" s="7" t="str">
        <f>IFERROR(__xludf.DUMMYFUNCTION("""COMPUTED_VALUE"""),"K")</f>
        <v>K</v>
      </c>
    </row>
    <row r="1121" ht="22.5" customHeight="1">
      <c r="A1121" s="6">
        <v>1120.0</v>
      </c>
      <c r="B1121" s="6" t="str">
        <f>IFERROR(__xludf.DUMMYFUNCTION("""COMPUTED_VALUE"""),"Pengelolaan Administrasi Perkantoraan")</f>
        <v>Pengelolaan Administrasi Perkantoraan</v>
      </c>
      <c r="F1121" s="6" t="str">
        <f>IFERROR(__xludf.DUMMYFUNCTION("""COMPUTED_VALUE"""),"Firman")</f>
        <v>Firman</v>
      </c>
      <c r="G1121" s="6" t="str">
        <f>IFERROR(__xludf.DUMMYFUNCTION("""COMPUTED_VALUE"""),"7472022906970001")</f>
        <v>7472022906970001</v>
      </c>
      <c r="J1121" s="7" t="str">
        <f>IFERROR(__xludf.DUMMYFUNCTION("""COMPUTED_VALUE"""),"LAKI-LAKI")</f>
        <v>LAKI-LAKI</v>
      </c>
      <c r="K1121" s="6" t="str">
        <f>IFERROR(__xludf.DUMMYFUNCTION("""COMPUTED_VALUE"""),"Jl. Wortel Monginsidi")</f>
        <v>Jl. Wortel Monginsidi</v>
      </c>
      <c r="R1121" s="7" t="str">
        <f>IFERROR(__xludf.DUMMYFUNCTION("""COMPUTED_VALUE"""),"K")</f>
        <v>K</v>
      </c>
    </row>
    <row r="1122" ht="22.5" customHeight="1">
      <c r="A1122" s="6">
        <v>1121.0</v>
      </c>
      <c r="B1122" s="6" t="str">
        <f>IFERROR(__xludf.DUMMYFUNCTION("""COMPUTED_VALUE"""),"Pengelolaan Administrasi Perkantoraan")</f>
        <v>Pengelolaan Administrasi Perkantoraan</v>
      </c>
      <c r="F1122" s="6" t="str">
        <f>IFERROR(__xludf.DUMMYFUNCTION("""COMPUTED_VALUE"""),"FATWAULY HAMUZAN SUJANA ")</f>
        <v>FATWAULY HAMUZAN SUJANA </v>
      </c>
      <c r="G1122" s="6" t="str">
        <f>IFERROR(__xludf.DUMMYFUNCTION("""COMPUTED_VALUE"""),"7472064506010001")</f>
        <v>7472064506010001</v>
      </c>
      <c r="J1122" s="7" t="str">
        <f>IFERROR(__xludf.DUMMYFUNCTION("""COMPUTED_VALUE"""),"PEREMPUAN")</f>
        <v>PEREMPUAN</v>
      </c>
      <c r="K1122" s="6" t="str">
        <f>IFERROR(__xludf.DUMMYFUNCTION("""COMPUTED_VALUE"""),"Jl. Hayam Wuruk No.92")</f>
        <v>Jl. Hayam Wuruk No.92</v>
      </c>
      <c r="R1122" s="7" t="str">
        <f>IFERROR(__xludf.DUMMYFUNCTION("""COMPUTED_VALUE"""),"K")</f>
        <v>K</v>
      </c>
    </row>
    <row r="1123" ht="22.5" customHeight="1">
      <c r="A1123" s="6">
        <v>1122.0</v>
      </c>
      <c r="B1123" s="6" t="str">
        <f>IFERROR(__xludf.DUMMYFUNCTION("""COMPUTED_VALUE"""),"Pengelolaan Administrasi Perkantoraan")</f>
        <v>Pengelolaan Administrasi Perkantoraan</v>
      </c>
      <c r="F1123" s="6" t="str">
        <f>IFERROR(__xludf.DUMMYFUNCTION("""COMPUTED_VALUE"""),"NUR ABSA")</f>
        <v>NUR ABSA</v>
      </c>
      <c r="G1123" s="6" t="str">
        <f>IFERROR(__xludf.DUMMYFUNCTION("""COMPUTED_VALUE"""),"7407065304030001")</f>
        <v>7407065304030001</v>
      </c>
      <c r="J1123" s="7" t="str">
        <f>IFERROR(__xludf.DUMMYFUNCTION("""COMPUTED_VALUE"""),"PEREMPUAN")</f>
        <v>PEREMPUAN</v>
      </c>
      <c r="K1123" s="6" t="str">
        <f>IFERROR(__xludf.DUMMYFUNCTION("""COMPUTED_VALUE"""),"BTN Anggoro, Kec Wolio, Kota Baubau")</f>
        <v>BTN Anggoro, Kec Wolio, Kota Baubau</v>
      </c>
      <c r="R1123" s="7" t="str">
        <f>IFERROR(__xludf.DUMMYFUNCTION("""COMPUTED_VALUE"""),"K")</f>
        <v>K</v>
      </c>
    </row>
    <row r="1124" ht="22.5" customHeight="1">
      <c r="A1124" s="6">
        <v>1123.0</v>
      </c>
      <c r="B1124" s="6" t="str">
        <f>IFERROR(__xludf.DUMMYFUNCTION("""COMPUTED_VALUE"""),"Pengelolaan Administrasi Perkantoraan")</f>
        <v>Pengelolaan Administrasi Perkantoraan</v>
      </c>
      <c r="F1124" s="6" t="str">
        <f>IFERROR(__xludf.DUMMYFUNCTION("""COMPUTED_VALUE"""),"WAODE SRI MULYAH HIDAYANTI")</f>
        <v>WAODE SRI MULYAH HIDAYANTI</v>
      </c>
      <c r="G1124" s="6" t="str">
        <f>IFERROR(__xludf.DUMMYFUNCTION("""COMPUTED_VALUE"""),"7471095512020001")</f>
        <v>7471095512020001</v>
      </c>
      <c r="J1124" s="7" t="str">
        <f>IFERROR(__xludf.DUMMYFUNCTION("""COMPUTED_VALUE"""),"PEREMPUAN")</f>
        <v>PEREMPUAN</v>
      </c>
      <c r="K1124" s="6" t="str">
        <f>IFERROR(__xludf.DUMMYFUNCTION("""COMPUTED_VALUE"""),"Jln. Nangka batulo kota baubau")</f>
        <v>Jln. Nangka batulo kota baubau</v>
      </c>
      <c r="R1124" s="7" t="str">
        <f>IFERROR(__xludf.DUMMYFUNCTION("""COMPUTED_VALUE"""),"K")</f>
        <v>K</v>
      </c>
    </row>
    <row r="1125" ht="22.5" customHeight="1">
      <c r="A1125" s="6">
        <v>1124.0</v>
      </c>
      <c r="B1125" s="6" t="str">
        <f>IFERROR(__xludf.DUMMYFUNCTION("""COMPUTED_VALUE"""),"Pengelolaan Administrasi Perkantoraan")</f>
        <v>Pengelolaan Administrasi Perkantoraan</v>
      </c>
      <c r="F1125" s="6" t="str">
        <f>IFERROR(__xludf.DUMMYFUNCTION("""COMPUTED_VALUE"""),"Aulia Maghfirah")</f>
        <v>Aulia Maghfirah</v>
      </c>
      <c r="G1125" s="6" t="str">
        <f>IFERROR(__xludf.DUMMYFUNCTION("""COMPUTED_VALUE"""),"7471016310030003")</f>
        <v>7471016310030003</v>
      </c>
      <c r="J1125" s="7" t="str">
        <f>IFERROR(__xludf.DUMMYFUNCTION("""COMPUTED_VALUE"""),"PEREMPUAN")</f>
        <v>PEREMPUAN</v>
      </c>
      <c r="K1125" s="6" t="str">
        <f>IFERROR(__xludf.DUMMYFUNCTION("""COMPUTED_VALUE"""),"JL. R. SUPRAPTO N0.100 C")</f>
        <v>JL. R. SUPRAPTO N0.100 C</v>
      </c>
      <c r="R1125" s="7" t="str">
        <f>IFERROR(__xludf.DUMMYFUNCTION("""COMPUTED_VALUE"""),"K")</f>
        <v>K</v>
      </c>
    </row>
    <row r="1126" ht="22.5" customHeight="1">
      <c r="A1126" s="6">
        <v>1125.0</v>
      </c>
      <c r="B1126" s="6" t="str">
        <f>IFERROR(__xludf.DUMMYFUNCTION("""COMPUTED_VALUE"""),"Pengelolaan Administrasi Perkantoraan")</f>
        <v>Pengelolaan Administrasi Perkantoraan</v>
      </c>
      <c r="F1126" s="6" t="str">
        <f>IFERROR(__xludf.DUMMYFUNCTION("""COMPUTED_VALUE"""),"Annisa Alifia Annas")</f>
        <v>Annisa Alifia Annas</v>
      </c>
      <c r="G1126" s="6" t="str">
        <f>IFERROR(__xludf.DUMMYFUNCTION("""COMPUTED_VALUE"""),"7401076403000001")</f>
        <v>7401076403000001</v>
      </c>
      <c r="J1126" s="7" t="str">
        <f>IFERROR(__xludf.DUMMYFUNCTION("""COMPUTED_VALUE"""),"PEREMPUAN")</f>
        <v>PEREMPUAN</v>
      </c>
      <c r="K1126" s="6" t="str">
        <f>IFERROR(__xludf.DUMMYFUNCTION("""COMPUTED_VALUE"""),"jl. pulau maniang no.7b kecamatan pomala kab. kolaka")</f>
        <v>jl. pulau maniang no.7b kecamatan pomala kab. kolaka</v>
      </c>
      <c r="R1126" s="7" t="str">
        <f>IFERROR(__xludf.DUMMYFUNCTION("""COMPUTED_VALUE"""),"K")</f>
        <v>K</v>
      </c>
    </row>
    <row r="1127" ht="22.5" customHeight="1">
      <c r="A1127" s="6">
        <v>1126.0</v>
      </c>
      <c r="B1127" s="6" t="str">
        <f>IFERROR(__xludf.DUMMYFUNCTION("""COMPUTED_VALUE"""),"Pengelolaan Administrasi Perkantoraan")</f>
        <v>Pengelolaan Administrasi Perkantoraan</v>
      </c>
      <c r="F1127" s="6" t="str">
        <f>IFERROR(__xludf.DUMMYFUNCTION("""COMPUTED_VALUE"""),"A. TENRI DIZA FM")</f>
        <v>A. TENRI DIZA FM</v>
      </c>
      <c r="G1127" s="6" t="str">
        <f>IFERROR(__xludf.DUMMYFUNCTION("""COMPUTED_VALUE"""),"7401145102020001")</f>
        <v>7401145102020001</v>
      </c>
      <c r="J1127" s="7" t="str">
        <f>IFERROR(__xludf.DUMMYFUNCTION("""COMPUTED_VALUE"""),"PEREMPUAN")</f>
        <v>PEREMPUAN</v>
      </c>
      <c r="K1127" s="6" t="str">
        <f>IFERROR(__xludf.DUMMYFUNCTION("""COMPUTED_VALUE"""),"Jl. Repelita ")</f>
        <v>Jl. Repelita </v>
      </c>
      <c r="R1127" s="7" t="str">
        <f>IFERROR(__xludf.DUMMYFUNCTION("""COMPUTED_VALUE"""),"K")</f>
        <v>K</v>
      </c>
    </row>
    <row r="1128" ht="22.5" customHeight="1">
      <c r="A1128" s="6">
        <v>1127.0</v>
      </c>
      <c r="B1128" s="6" t="str">
        <f>IFERROR(__xludf.DUMMYFUNCTION("""COMPUTED_VALUE"""),"Pengelolaan Administrasi Perkantoraan")</f>
        <v>Pengelolaan Administrasi Perkantoraan</v>
      </c>
      <c r="F1128" s="6" t="str">
        <f>IFERROR(__xludf.DUMMYFUNCTION("""COMPUTED_VALUE"""),"FADILLA LESTARINI. M")</f>
        <v>FADILLA LESTARINI. M</v>
      </c>
      <c r="G1128" s="6" t="str">
        <f>IFERROR(__xludf.DUMMYFUNCTION("""COMPUTED_VALUE"""),"7472065508030001")</f>
        <v>7472065508030001</v>
      </c>
      <c r="J1128" s="7" t="str">
        <f>IFERROR(__xludf.DUMMYFUNCTION("""COMPUTED_VALUE"""),"PEREMPUAN")</f>
        <v>PEREMPUAN</v>
      </c>
      <c r="K1128" s="6" t="str">
        <f>IFERROR(__xludf.DUMMYFUNCTION("""COMPUTED_VALUE"""),"Jl. Gajah Mada No. 23, Kel. Wajo, Kec. Murhum")</f>
        <v>Jl. Gajah Mada No. 23, Kel. Wajo, Kec. Murhum</v>
      </c>
      <c r="R1128" s="7" t="str">
        <f>IFERROR(__xludf.DUMMYFUNCTION("""COMPUTED_VALUE"""),"K")</f>
        <v>K</v>
      </c>
    </row>
    <row r="1129" ht="22.5" customHeight="1">
      <c r="A1129" s="6">
        <v>1128.0</v>
      </c>
      <c r="B1129" s="6" t="str">
        <f>IFERROR(__xludf.DUMMYFUNCTION("""COMPUTED_VALUE"""),"Pengelolaan Administrasi Perkantoraan")</f>
        <v>Pengelolaan Administrasi Perkantoraan</v>
      </c>
      <c r="F1129" s="6" t="str">
        <f>IFERROR(__xludf.DUMMYFUNCTION("""COMPUTED_VALUE"""),"RANI SAPUTRI ")</f>
        <v>RANI SAPUTRI </v>
      </c>
      <c r="G1129" s="6" t="str">
        <f>IFERROR(__xludf.DUMMYFUNCTION("""COMPUTED_VALUE"""),"7471027001040001")</f>
        <v>7471027001040001</v>
      </c>
      <c r="J1129" s="7" t="str">
        <f>IFERROR(__xludf.DUMMYFUNCTION("""COMPUTED_VALUE"""),"PEREMPUAN")</f>
        <v>PEREMPUAN</v>
      </c>
      <c r="K1129" s="6" t="str">
        <f>IFERROR(__xludf.DUMMYFUNCTION("""COMPUTED_VALUE"""),"JL. POROS GUNUNG JATI RT 001/RW 001, Kel. Jati Mekar, Kec. Kendari")</f>
        <v>JL. POROS GUNUNG JATI RT 001/RW 001, Kel. Jati Mekar, Kec. Kendari</v>
      </c>
      <c r="R1129" s="7" t="str">
        <f>IFERROR(__xludf.DUMMYFUNCTION("""COMPUTED_VALUE"""),"K")</f>
        <v>K</v>
      </c>
    </row>
    <row r="1130" ht="22.5" customHeight="1">
      <c r="A1130" s="6">
        <v>1129.0</v>
      </c>
      <c r="B1130" s="6" t="str">
        <f>IFERROR(__xludf.DUMMYFUNCTION("""COMPUTED_VALUE"""),"Pengelolaan Administrasi Perkantoraan")</f>
        <v>Pengelolaan Administrasi Perkantoraan</v>
      </c>
      <c r="F1130" s="6" t="str">
        <f>IFERROR(__xludf.DUMMYFUNCTION("""COMPUTED_VALUE"""),"Choirul Fatih Fahresi ")</f>
        <v>Choirul Fatih Fahresi </v>
      </c>
      <c r="G1130" s="6" t="str">
        <f>IFERROR(__xludf.DUMMYFUNCTION("""COMPUTED_VALUE"""),"7405075710030001")</f>
        <v>7405075710030001</v>
      </c>
      <c r="J1130" s="7" t="str">
        <f>IFERROR(__xludf.DUMMYFUNCTION("""COMPUTED_VALUE"""),"PEREMPUAN")</f>
        <v>PEREMPUAN</v>
      </c>
      <c r="K1130" s="6" t="str">
        <f>IFERROR(__xludf.DUMMYFUNCTION("""COMPUTED_VALUE"""),"Kecamatan Konda, Kabupaten Konawe Selatan ")</f>
        <v>Kecamatan Konda, Kabupaten Konawe Selatan </v>
      </c>
      <c r="R1130" s="7" t="str">
        <f>IFERROR(__xludf.DUMMYFUNCTION("""COMPUTED_VALUE"""),"K")</f>
        <v>K</v>
      </c>
    </row>
    <row r="1131" ht="22.5" customHeight="1">
      <c r="A1131" s="6">
        <v>1130.0</v>
      </c>
      <c r="B1131" s="6" t="str">
        <f>IFERROR(__xludf.DUMMYFUNCTION("""COMPUTED_VALUE"""),"Pengelolaan Administrasi Perkantoraan")</f>
        <v>Pengelolaan Administrasi Perkantoraan</v>
      </c>
      <c r="F1131" s="6" t="str">
        <f>IFERROR(__xludf.DUMMYFUNCTION("""COMPUTED_VALUE"""),"NUR RESKI AFRILIA")</f>
        <v>NUR RESKI AFRILIA</v>
      </c>
      <c r="G1131" s="6" t="str">
        <f>IFERROR(__xludf.DUMMYFUNCTION("""COMPUTED_VALUE"""),"7401096005020002")</f>
        <v>7401096005020002</v>
      </c>
      <c r="J1131" s="7" t="str">
        <f>IFERROR(__xludf.DUMMYFUNCTION("""COMPUTED_VALUE"""),"PEREMPUAN")</f>
        <v>PEREMPUAN</v>
      </c>
      <c r="K1131" s="6" t="str">
        <f>IFERROR(__xludf.DUMMYFUNCTION("""COMPUTED_VALUE"""),"Desa Ana Onembute, Kab. Konawe, Sulawesi Tenggara")</f>
        <v>Desa Ana Onembute, Kab. Konawe, Sulawesi Tenggara</v>
      </c>
      <c r="R1131" s="7" t="str">
        <f>IFERROR(__xludf.DUMMYFUNCTION("""COMPUTED_VALUE"""),"K")</f>
        <v>K</v>
      </c>
    </row>
    <row r="1132" ht="22.5" customHeight="1">
      <c r="A1132" s="6">
        <v>1131.0</v>
      </c>
      <c r="B1132" s="6" t="str">
        <f>IFERROR(__xludf.DUMMYFUNCTION("""COMPUTED_VALUE"""),"Pengelolaan Administrasi Perkantoraan")</f>
        <v>Pengelolaan Administrasi Perkantoraan</v>
      </c>
      <c r="F1132" s="6" t="str">
        <f>IFERROR(__xludf.DUMMYFUNCTION("""COMPUTED_VALUE"""),"Warda Alamri")</f>
        <v>Warda Alamri</v>
      </c>
      <c r="G1132" s="6" t="str">
        <f>IFERROR(__xludf.DUMMYFUNCTION("""COMPUTED_VALUE"""),"7471104908030002")</f>
        <v>7471104908030002</v>
      </c>
      <c r="J1132" s="7" t="str">
        <f>IFERROR(__xludf.DUMMYFUNCTION("""COMPUTED_VALUE"""),"PEREMPUAN")</f>
        <v>PEREMPUAN</v>
      </c>
      <c r="K1132" s="6" t="str">
        <f>IFERROR(__xludf.DUMMYFUNCTION("""COMPUTED_VALUE"""),"BTN Kendari Permai, Blok P1 no 15")</f>
        <v>BTN Kendari Permai, Blok P1 no 15</v>
      </c>
      <c r="R1132" s="7" t="str">
        <f>IFERROR(__xludf.DUMMYFUNCTION("""COMPUTED_VALUE"""),"K")</f>
        <v>K</v>
      </c>
    </row>
    <row r="1133" ht="22.5" customHeight="1">
      <c r="A1133" s="6">
        <v>1132.0</v>
      </c>
      <c r="B1133" s="6" t="str">
        <f>IFERROR(__xludf.DUMMYFUNCTION("""COMPUTED_VALUE"""),"Pengelolaan Administrasi Perkantoraan")</f>
        <v>Pengelolaan Administrasi Perkantoraan</v>
      </c>
      <c r="F1133" s="6" t="str">
        <f>IFERROR(__xludf.DUMMYFUNCTION("""COMPUTED_VALUE"""),"ISRA SALSABILA")</f>
        <v>ISRA SALSABILA</v>
      </c>
      <c r="G1133" s="6" t="str">
        <f>IFERROR(__xludf.DUMMYFUNCTION("""COMPUTED_VALUE"""),"7471066412000002")</f>
        <v>7471066412000002</v>
      </c>
      <c r="J1133" s="7" t="str">
        <f>IFERROR(__xludf.DUMMYFUNCTION("""COMPUTED_VALUE"""),"PEREMPUAN")</f>
        <v>PEREMPUAN</v>
      </c>
      <c r="K1133" s="6" t="str">
        <f>IFERROR(__xludf.DUMMYFUNCTION("""COMPUTED_VALUE"""),"JL DERMAGA LAPULU")</f>
        <v>JL DERMAGA LAPULU</v>
      </c>
      <c r="R1133" s="7" t="str">
        <f>IFERROR(__xludf.DUMMYFUNCTION("""COMPUTED_VALUE"""),"K")</f>
        <v>K</v>
      </c>
    </row>
    <row r="1134" ht="22.5" customHeight="1">
      <c r="A1134" s="6">
        <v>1133.0</v>
      </c>
      <c r="B1134" s="6" t="str">
        <f>IFERROR(__xludf.DUMMYFUNCTION("""COMPUTED_VALUE"""),"Pengelolaan Administrasi Perkantoraan")</f>
        <v>Pengelolaan Administrasi Perkantoraan</v>
      </c>
      <c r="F1134" s="6" t="str">
        <f>IFERROR(__xludf.DUMMYFUNCTION("""COMPUTED_VALUE"""),"Nur Ainun")</f>
        <v>Nur Ainun</v>
      </c>
      <c r="G1134" s="6" t="str">
        <f>IFERROR(__xludf.DUMMYFUNCTION("""COMPUTED_VALUE"""),"7401047009030003")</f>
        <v>7401047009030003</v>
      </c>
      <c r="J1134" s="7" t="str">
        <f>IFERROR(__xludf.DUMMYFUNCTION("""COMPUTED_VALUE"""),"PEREMPUAN")</f>
        <v>PEREMPUAN</v>
      </c>
      <c r="K1134" s="6" t="str">
        <f>IFERROR(__xludf.DUMMYFUNCTION("""COMPUTED_VALUE"""),"Jln dr sutomo no.4")</f>
        <v>Jln dr sutomo no.4</v>
      </c>
      <c r="R1134" s="7" t="str">
        <f>IFERROR(__xludf.DUMMYFUNCTION("""COMPUTED_VALUE"""),"K")</f>
        <v>K</v>
      </c>
    </row>
    <row r="1135" ht="22.5" customHeight="1">
      <c r="A1135" s="6">
        <v>1134.0</v>
      </c>
      <c r="B1135" s="6" t="str">
        <f>IFERROR(__xludf.DUMMYFUNCTION("""COMPUTED_VALUE"""),"Pengelolaan Administrasi Perkantoraan")</f>
        <v>Pengelolaan Administrasi Perkantoraan</v>
      </c>
      <c r="F1135" s="6" t="str">
        <f>IFERROR(__xludf.DUMMYFUNCTION("""COMPUTED_VALUE"""),"AULIA FATMALA PUTRI BASIRUN")</f>
        <v>AULIA FATMALA PUTRI BASIRUN</v>
      </c>
      <c r="G1135" s="6" t="str">
        <f>IFERROR(__xludf.DUMMYFUNCTION("""COMPUTED_VALUE"""),"7472025801040002")</f>
        <v>7472025801040002</v>
      </c>
      <c r="J1135" s="7" t="str">
        <f>IFERROR(__xludf.DUMMYFUNCTION("""COMPUTED_VALUE"""),"PEREMPUAN")</f>
        <v>PEREMPUAN</v>
      </c>
      <c r="K1135" s="6" t="str">
        <f>IFERROR(__xludf.DUMMYFUNCTION("""COMPUTED_VALUE"""),"Jl. H. Agus Salim No. 25")</f>
        <v>Jl. H. Agus Salim No. 25</v>
      </c>
      <c r="R1135" s="7" t="str">
        <f>IFERROR(__xludf.DUMMYFUNCTION("""COMPUTED_VALUE"""),"K")</f>
        <v>K</v>
      </c>
    </row>
    <row r="1136" ht="22.5" customHeight="1">
      <c r="A1136" s="6">
        <v>1135.0</v>
      </c>
      <c r="B1136" s="6" t="str">
        <f>IFERROR(__xludf.DUMMYFUNCTION("""COMPUTED_VALUE"""),"Pengelolaan Administrasi Perkantoraan")</f>
        <v>Pengelolaan Administrasi Perkantoraan</v>
      </c>
      <c r="F1136" s="6" t="str">
        <f>IFERROR(__xludf.DUMMYFUNCTION("""COMPUTED_VALUE"""),"MERLINA WATI")</f>
        <v>MERLINA WATI</v>
      </c>
      <c r="G1136" s="6" t="str">
        <f>IFERROR(__xludf.DUMMYFUNCTION("""COMPUTED_VALUE"""),"7407015012030001")</f>
        <v>7407015012030001</v>
      </c>
      <c r="J1136" s="7" t="str">
        <f>IFERROR(__xludf.DUMMYFUNCTION("""COMPUTED_VALUE"""),"PEREMPUAN")</f>
        <v>PEREMPUAN</v>
      </c>
      <c r="K1136" s="6" t="str">
        <f>IFERROR(__xludf.DUMMYFUNCTION("""COMPUTED_VALUE"""),"LA SUMPA")</f>
        <v>LA SUMPA</v>
      </c>
      <c r="R1136" s="7" t="str">
        <f>IFERROR(__xludf.DUMMYFUNCTION("""COMPUTED_VALUE"""),"K")</f>
        <v>K</v>
      </c>
    </row>
    <row r="1137" ht="22.5" customHeight="1">
      <c r="A1137" s="6">
        <v>1136.0</v>
      </c>
      <c r="B1137" s="6" t="str">
        <f>IFERROR(__xludf.DUMMYFUNCTION("""COMPUTED_VALUE"""),"Pengelolaan Administrasi Perkantoraan")</f>
        <v>Pengelolaan Administrasi Perkantoraan</v>
      </c>
      <c r="F1137" s="6" t="str">
        <f>IFERROR(__xludf.DUMMYFUNCTION("""COMPUTED_VALUE"""),"Waode Intan Gebrina")</f>
        <v>Waode Intan Gebrina</v>
      </c>
      <c r="G1137" s="6" t="str">
        <f>IFERROR(__xludf.DUMMYFUNCTION("""COMPUTED_VALUE"""),"7403156004030001")</f>
        <v>7403156004030001</v>
      </c>
      <c r="J1137" s="7" t="str">
        <f>IFERROR(__xludf.DUMMYFUNCTION("""COMPUTED_VALUE"""),"PEREMPUAN")</f>
        <v>PEREMPUAN</v>
      </c>
      <c r="K1137" s="6" t="str">
        <f>IFERROR(__xludf.DUMMYFUNCTION("""COMPUTED_VALUE"""),"BTN Baruga Lestari Blok C5, Kelurahan Watubangga, Kecamatan Baruga, Kota Kendari")</f>
        <v>BTN Baruga Lestari Blok C5, Kelurahan Watubangga, Kecamatan Baruga, Kota Kendari</v>
      </c>
      <c r="R1137" s="7" t="str">
        <f>IFERROR(__xludf.DUMMYFUNCTION("""COMPUTED_VALUE"""),"K")</f>
        <v>K</v>
      </c>
    </row>
    <row r="1138" ht="22.5" customHeight="1">
      <c r="A1138" s="6">
        <v>1137.0</v>
      </c>
      <c r="B1138" s="6" t="str">
        <f>IFERROR(__xludf.DUMMYFUNCTION("""COMPUTED_VALUE"""),"Pengelolaan Administrasi Perkantoraan")</f>
        <v>Pengelolaan Administrasi Perkantoraan</v>
      </c>
      <c r="F1138" s="6" t="str">
        <f>IFERROR(__xludf.DUMMYFUNCTION("""COMPUTED_VALUE"""),"Rony Kurniawan")</f>
        <v>Rony Kurniawan</v>
      </c>
      <c r="G1138" s="6" t="str">
        <f>IFERROR(__xludf.DUMMYFUNCTION("""COMPUTED_VALUE"""),"7471010409020001")</f>
        <v>7471010409020001</v>
      </c>
      <c r="J1138" s="7" t="str">
        <f>IFERROR(__xludf.DUMMYFUNCTION("""COMPUTED_VALUE"""),"LAKI-LAKI")</f>
        <v>LAKI-LAKI</v>
      </c>
      <c r="K1138" s="6" t="str">
        <f>IFERROR(__xludf.DUMMYFUNCTION("""COMPUTED_VALUE"""),"Jl. Balai Kota I")</f>
        <v>Jl. Balai Kota I</v>
      </c>
      <c r="R1138" s="7" t="str">
        <f>IFERROR(__xludf.DUMMYFUNCTION("""COMPUTED_VALUE"""),"K")</f>
        <v>K</v>
      </c>
    </row>
    <row r="1139" ht="22.5" customHeight="1">
      <c r="A1139" s="6">
        <v>1138.0</v>
      </c>
      <c r="B1139" s="6" t="str">
        <f>IFERROR(__xludf.DUMMYFUNCTION("""COMPUTED_VALUE"""),"Pengelolaan Administrasi Perkantoraan")</f>
        <v>Pengelolaan Administrasi Perkantoraan</v>
      </c>
      <c r="F1139" s="6" t="str">
        <f>IFERROR(__xludf.DUMMYFUNCTION("""COMPUTED_VALUE"""),"WA ODE INTAN CAHYANI")</f>
        <v>WA ODE INTAN CAHYANI</v>
      </c>
      <c r="G1139" s="6" t="str">
        <f>IFERROR(__xludf.DUMMYFUNCTION("""COMPUTED_VALUE"""),"8101155009040005")</f>
        <v>8101155009040005</v>
      </c>
      <c r="J1139" s="7" t="str">
        <f>IFERROR(__xludf.DUMMYFUNCTION("""COMPUTED_VALUE"""),"PEREMPUAN")</f>
        <v>PEREMPUAN</v>
      </c>
      <c r="K1139" s="6" t="str">
        <f>IFERROR(__xludf.DUMMYFUNCTION("""COMPUTED_VALUE"""),"Jl. Baru Gundu-Gundu Kel, Lipu Kec, Betoambari")</f>
        <v>Jl. Baru Gundu-Gundu Kel, Lipu Kec, Betoambari</v>
      </c>
      <c r="R1139" s="7" t="str">
        <f>IFERROR(__xludf.DUMMYFUNCTION("""COMPUTED_VALUE"""),"K")</f>
        <v>K</v>
      </c>
    </row>
    <row r="1140" ht="22.5" customHeight="1">
      <c r="A1140" s="6">
        <v>1139.0</v>
      </c>
      <c r="B1140" s="6" t="str">
        <f>IFERROR(__xludf.DUMMYFUNCTION("""COMPUTED_VALUE"""),"Pengelolaan Administrasi Perkantoraan")</f>
        <v>Pengelolaan Administrasi Perkantoraan</v>
      </c>
      <c r="F1140" s="6" t="str">
        <f>IFERROR(__xludf.DUMMYFUNCTION("""COMPUTED_VALUE"""),"Rizka Ananda Chaisarah ")</f>
        <v>Rizka Ananda Chaisarah </v>
      </c>
      <c r="G1140" s="6" t="str">
        <f>IFERROR(__xludf.DUMMYFUNCTION("""COMPUTED_VALUE"""),"7471106704040002")</f>
        <v>7471106704040002</v>
      </c>
      <c r="J1140" s="7" t="str">
        <f>IFERROR(__xludf.DUMMYFUNCTION("""COMPUTED_VALUE"""),"PEREMPUAN")</f>
        <v>PEREMPUAN</v>
      </c>
      <c r="K1140" s="6" t="str">
        <f>IFERROR(__xludf.DUMMYFUNCTION("""COMPUTED_VALUE"""),"Jl. Malaka, kambu")</f>
        <v>Jl. Malaka, kambu</v>
      </c>
      <c r="R1140" s="7" t="str">
        <f>IFERROR(__xludf.DUMMYFUNCTION("""COMPUTED_VALUE"""),"K")</f>
        <v>K</v>
      </c>
    </row>
    <row r="1141" ht="22.5" customHeight="1">
      <c r="A1141" s="6">
        <v>1140.0</v>
      </c>
      <c r="B1141" s="6" t="str">
        <f>IFERROR(__xludf.DUMMYFUNCTION("""COMPUTED_VALUE"""),"Pengelolaan Administrasi Perkantoraan")</f>
        <v>Pengelolaan Administrasi Perkantoraan</v>
      </c>
      <c r="F1141" s="6" t="str">
        <f>IFERROR(__xludf.DUMMYFUNCTION("""COMPUTED_VALUE"""),"Andini Pramesty")</f>
        <v>Andini Pramesty</v>
      </c>
      <c r="G1141" s="6" t="str">
        <f>IFERROR(__xludf.DUMMYFUNCTION("""COMPUTED_VALUE"""),"7403105007030001")</f>
        <v>7403105007030001</v>
      </c>
      <c r="J1141" s="7" t="str">
        <f>IFERROR(__xludf.DUMMYFUNCTION("""COMPUTED_VALUE"""),"PEREMPUAN")</f>
        <v>PEREMPUAN</v>
      </c>
      <c r="K1141" s="6" t="str">
        <f>IFERROR(__xludf.DUMMYFUNCTION("""COMPUTED_VALUE"""),"Jalan banteng ")</f>
        <v>Jalan banteng </v>
      </c>
      <c r="R1141" s="7" t="str">
        <f>IFERROR(__xludf.DUMMYFUNCTION("""COMPUTED_VALUE"""),"K")</f>
        <v>K</v>
      </c>
    </row>
    <row r="1142" ht="22.5" customHeight="1">
      <c r="A1142" s="6">
        <v>1141.0</v>
      </c>
      <c r="B1142" s="6" t="str">
        <f>IFERROR(__xludf.DUMMYFUNCTION("""COMPUTED_VALUE"""),"Pengelolaan Administrasi Perkantoraan")</f>
        <v>Pengelolaan Administrasi Perkantoraan</v>
      </c>
      <c r="F1142" s="6" t="str">
        <f>IFERROR(__xludf.DUMMYFUNCTION("""COMPUTED_VALUE"""),"ROY ASTUTI")</f>
        <v>ROY ASTUTI</v>
      </c>
      <c r="G1142" s="6" t="str">
        <f>IFERROR(__xludf.DUMMYFUNCTION("""COMPUTED_VALUE"""),"7404115309030004")</f>
        <v>7404115309030004</v>
      </c>
      <c r="J1142" s="7" t="str">
        <f>IFERROR(__xludf.DUMMYFUNCTION("""COMPUTED_VALUE"""),"PEREMPUAN")</f>
        <v>PEREMPUAN</v>
      </c>
      <c r="K1142" s="6" t="str">
        <f>IFERROR(__xludf.DUMMYFUNCTION("""COMPUTED_VALUE"""),"Jl. H.E.A Mokodompit, Depan UHO, lorong perintis, asrama wabula")</f>
        <v>Jl. H.E.A Mokodompit, Depan UHO, lorong perintis, asrama wabula</v>
      </c>
      <c r="R1142" s="7" t="str">
        <f>IFERROR(__xludf.DUMMYFUNCTION("""COMPUTED_VALUE"""),"K")</f>
        <v>K</v>
      </c>
    </row>
    <row r="1143" ht="22.5" customHeight="1">
      <c r="A1143" s="6">
        <v>1142.0</v>
      </c>
      <c r="B1143" s="6" t="str">
        <f>IFERROR(__xludf.DUMMYFUNCTION("""COMPUTED_VALUE"""),"Pengelolaan Administrasi Perkantoraan")</f>
        <v>Pengelolaan Administrasi Perkantoraan</v>
      </c>
      <c r="F1143" s="6" t="str">
        <f>IFERROR(__xludf.DUMMYFUNCTION("""COMPUTED_VALUE"""),"Riski")</f>
        <v>Riski</v>
      </c>
      <c r="G1143" s="6" t="str">
        <f>IFERROR(__xludf.DUMMYFUNCTION("""COMPUTED_VALUE"""),"7404316608030004")</f>
        <v>7404316608030004</v>
      </c>
      <c r="J1143" s="7" t="str">
        <f>IFERROR(__xludf.DUMMYFUNCTION("""COMPUTED_VALUE"""),"PEREMPUAN")</f>
        <v>PEREMPUAN</v>
      </c>
      <c r="K1143" s="6" t="str">
        <f>IFERROR(__xludf.DUMMYFUNCTION("""COMPUTED_VALUE"""),"Desa Karya Jaya, Kec. Siotapina, Kab. Buton")</f>
        <v>Desa Karya Jaya, Kec. Siotapina, Kab. Buton</v>
      </c>
      <c r="R1143" s="7" t="str">
        <f>IFERROR(__xludf.DUMMYFUNCTION("""COMPUTED_VALUE"""),"K")</f>
        <v>K</v>
      </c>
    </row>
    <row r="1144" ht="22.5" customHeight="1">
      <c r="A1144" s="6">
        <v>1143.0</v>
      </c>
      <c r="B1144" s="6" t="str">
        <f>IFERROR(__xludf.DUMMYFUNCTION("""COMPUTED_VALUE"""),"Pengelolaan Administrasi Perkantoraan")</f>
        <v>Pengelolaan Administrasi Perkantoraan</v>
      </c>
      <c r="F1144" s="6" t="str">
        <f>IFERROR(__xludf.DUMMYFUNCTION("""COMPUTED_VALUE"""),"Sitti Nur Aulia Ghani")</f>
        <v>Sitti Nur Aulia Ghani</v>
      </c>
      <c r="G1144" s="6" t="str">
        <f>IFERROR(__xludf.DUMMYFUNCTION("""COMPUTED_VALUE"""),"7471014205020004")</f>
        <v>7471014205020004</v>
      </c>
      <c r="J1144" s="7" t="str">
        <f>IFERROR(__xludf.DUMMYFUNCTION("""COMPUTED_VALUE"""),"PEREMPUAN")</f>
        <v>PEREMPUAN</v>
      </c>
      <c r="K1144" s="6" t="str">
        <f>IFERROR(__xludf.DUMMYFUNCTION("""COMPUTED_VALUE"""),"JL. TAMAN SURAPATI")</f>
        <v>JL. TAMAN SURAPATI</v>
      </c>
      <c r="R1144" s="7" t="str">
        <f>IFERROR(__xludf.DUMMYFUNCTION("""COMPUTED_VALUE"""),"K")</f>
        <v>K</v>
      </c>
    </row>
    <row r="1145" ht="22.5" customHeight="1">
      <c r="A1145" s="6">
        <v>1144.0</v>
      </c>
      <c r="B1145" s="6" t="str">
        <f>IFERROR(__xludf.DUMMYFUNCTION("""COMPUTED_VALUE"""),"Pengelolaan Administrasi Perkantoraan")</f>
        <v>Pengelolaan Administrasi Perkantoraan</v>
      </c>
      <c r="F1145" s="6" t="str">
        <f>IFERROR(__xludf.DUMMYFUNCTION("""COMPUTED_VALUE"""),"Nur Afifa Putri Risna")</f>
        <v>Nur Afifa Putri Risna</v>
      </c>
      <c r="G1145" s="6" t="str">
        <f>IFERROR(__xludf.DUMMYFUNCTION("""COMPUTED_VALUE"""),"7406016404030001")</f>
        <v>7406016404030001</v>
      </c>
      <c r="J1145" s="7" t="str">
        <f>IFERROR(__xludf.DUMMYFUNCTION("""COMPUTED_VALUE"""),"PEREMPUAN")</f>
        <v>PEREMPUAN</v>
      </c>
      <c r="K1145" s="6" t="str">
        <f>IFERROR(__xludf.DUMMYFUNCTION("""COMPUTED_VALUE"""),"Topa I, Kel. Wanci, Kec. Wangi-wangi, Kab. Wakatobi")</f>
        <v>Topa I, Kel. Wanci, Kec. Wangi-wangi, Kab. Wakatobi</v>
      </c>
      <c r="R1145" s="7" t="str">
        <f>IFERROR(__xludf.DUMMYFUNCTION("""COMPUTED_VALUE"""),"K")</f>
        <v>K</v>
      </c>
    </row>
    <row r="1146" ht="22.5" customHeight="1">
      <c r="A1146" s="6">
        <v>1145.0</v>
      </c>
      <c r="B1146" s="6" t="str">
        <f>IFERROR(__xludf.DUMMYFUNCTION("""COMPUTED_VALUE"""),"Operator Komputer (Computer Operator")</f>
        <v>Operator Komputer (Computer Operator</v>
      </c>
      <c r="F1146" s="6" t="str">
        <f>IFERROR(__xludf.DUMMYFUNCTION("""COMPUTED_VALUE"""),"Sardianto Rahman")</f>
        <v>Sardianto Rahman</v>
      </c>
      <c r="G1146" s="6" t="str">
        <f>IFERROR(__xludf.DUMMYFUNCTION("""COMPUTED_VALUE"""),"7407062701030001")</f>
        <v>7407062701030001</v>
      </c>
      <c r="J1146" s="7" t="str">
        <f>IFERROR(__xludf.DUMMYFUNCTION("""COMPUTED_VALUE"""),"LAKI-LAKI")</f>
        <v>LAKI-LAKI</v>
      </c>
      <c r="K1146" s="6" t="str">
        <f>IFERROR(__xludf.DUMMYFUNCTION("""COMPUTED_VALUE"""),"Dusun Haliba, Desa Lede, Kec. Lede")</f>
        <v>Dusun Haliba, Desa Lede, Kec. Lede</v>
      </c>
      <c r="R1146" s="7" t="str">
        <f>IFERROR(__xludf.DUMMYFUNCTION("""COMPUTED_VALUE"""),"K")</f>
        <v>K</v>
      </c>
    </row>
    <row r="1147" ht="22.5" customHeight="1">
      <c r="A1147" s="6">
        <v>1146.0</v>
      </c>
      <c r="B1147" s="6" t="str">
        <f>IFERROR(__xludf.DUMMYFUNCTION("""COMPUTED_VALUE"""),"Pengelolaan Administrasi Perkantoraan")</f>
        <v>Pengelolaan Administrasi Perkantoraan</v>
      </c>
      <c r="F1147" s="6" t="str">
        <f>IFERROR(__xludf.DUMMYFUNCTION("""COMPUTED_VALUE"""),"Zaskia Zahrani Yusman")</f>
        <v>Zaskia Zahrani Yusman</v>
      </c>
      <c r="G1147" s="6" t="str">
        <f>IFERROR(__xludf.DUMMYFUNCTION("""COMPUTED_VALUE"""),"7402184408020001")</f>
        <v>7402184408020001</v>
      </c>
      <c r="J1147" s="7" t="str">
        <f>IFERROR(__xludf.DUMMYFUNCTION("""COMPUTED_VALUE"""),"PEREMPUAN")</f>
        <v>PEREMPUAN</v>
      </c>
      <c r="K1147" s="6" t="str">
        <f>IFERROR(__xludf.DUMMYFUNCTION("""COMPUTED_VALUE"""),"Jln. Saranani No. 33 B")</f>
        <v>Jln. Saranani No. 33 B</v>
      </c>
      <c r="R1147" s="7" t="str">
        <f>IFERROR(__xludf.DUMMYFUNCTION("""COMPUTED_VALUE"""),"K")</f>
        <v>K</v>
      </c>
    </row>
    <row r="1148" ht="22.5" customHeight="1">
      <c r="A1148" s="6">
        <v>1147.0</v>
      </c>
      <c r="B1148" s="6" t="str">
        <f>IFERROR(__xludf.DUMMYFUNCTION("""COMPUTED_VALUE"""),"Pengelolaan Administrasi Perkantoraan")</f>
        <v>Pengelolaan Administrasi Perkantoraan</v>
      </c>
      <c r="F1148" s="6" t="str">
        <f>IFERROR(__xludf.DUMMYFUNCTION("""COMPUTED_VALUE"""),"SANI R.ABD LATIB")</f>
        <v>SANI R.ABD LATIB</v>
      </c>
      <c r="G1148" s="6" t="str">
        <f>IFERROR(__xludf.DUMMYFUNCTION("""COMPUTED_VALUE"""),"7207011008010001")</f>
        <v>7207011008010001</v>
      </c>
      <c r="J1148" s="7" t="str">
        <f>IFERROR(__xludf.DUMMYFUNCTION("""COMPUTED_VALUE"""),"LAKI-LAKI")</f>
        <v>LAKI-LAKI</v>
      </c>
      <c r="K1148" s="6" t="str">
        <f>IFERROR(__xludf.DUMMYFUNCTION("""COMPUTED_VALUE"""),"Desa Lipulalongo")</f>
        <v>Desa Lipulalongo</v>
      </c>
      <c r="R1148" s="7" t="str">
        <f>IFERROR(__xludf.DUMMYFUNCTION("""COMPUTED_VALUE"""),"K")</f>
        <v>K</v>
      </c>
    </row>
    <row r="1149" ht="22.5" customHeight="1">
      <c r="A1149" s="6">
        <v>1148.0</v>
      </c>
      <c r="B1149" s="6" t="str">
        <f>IFERROR(__xludf.DUMMYFUNCTION("""COMPUTED_VALUE"""),"Petugas Keselematan dan Kesehatan Kerja")</f>
        <v>Petugas Keselematan dan Kesehatan Kerja</v>
      </c>
      <c r="F1149" s="6" t="str">
        <f>IFERROR(__xludf.DUMMYFUNCTION("""COMPUTED_VALUE"""),"Khusnul Khatimah")</f>
        <v>Khusnul Khatimah</v>
      </c>
      <c r="G1149" s="6" t="str">
        <f>IFERROR(__xludf.DUMMYFUNCTION("""COMPUTED_VALUE"""),"7371116801030001")</f>
        <v>7371116801030001</v>
      </c>
      <c r="J1149" s="7" t="str">
        <f>IFERROR(__xludf.DUMMYFUNCTION("""COMPUTED_VALUE"""),"PEREMPUAN")</f>
        <v>PEREMPUAN</v>
      </c>
      <c r="K1149" s="6" t="str">
        <f>IFERROR(__xludf.DUMMYFUNCTION("""COMPUTED_VALUE"""),"BTN KODAM III BLOK C4/13")</f>
        <v>BTN KODAM III BLOK C4/13</v>
      </c>
      <c r="R1149" s="7" t="str">
        <f>IFERROR(__xludf.DUMMYFUNCTION("""COMPUTED_VALUE"""),"K")</f>
        <v>K</v>
      </c>
    </row>
    <row r="1150" ht="22.5" customHeight="1">
      <c r="A1150" s="6">
        <v>1149.0</v>
      </c>
      <c r="B1150" s="6" t="str">
        <f>IFERROR(__xludf.DUMMYFUNCTION("""COMPUTED_VALUE"""),"Petugas Keselematan dan Kesehatan Kerja")</f>
        <v>Petugas Keselematan dan Kesehatan Kerja</v>
      </c>
      <c r="F1150" s="6" t="str">
        <f>IFERROR(__xludf.DUMMYFUNCTION("""COMPUTED_VALUE"""),"Alfiah Galuh Candraningrum")</f>
        <v>Alfiah Galuh Candraningrum</v>
      </c>
      <c r="G1150" s="6" t="str">
        <f>IFERROR(__xludf.DUMMYFUNCTION("""COMPUTED_VALUE"""),"1803024107000093")</f>
        <v>1803024107000093</v>
      </c>
      <c r="J1150" s="7" t="str">
        <f>IFERROR(__xludf.DUMMYFUNCTION("""COMPUTED_VALUE"""),"PEREMPUAN")</f>
        <v>PEREMPUAN</v>
      </c>
      <c r="K1150" s="6" t="str">
        <f>IFERROR(__xludf.DUMMYFUNCTION("""COMPUTED_VALUE"""),"Jl. Lebung Curup, Rejo Sari, Kotabumi, Lampung Utara, Lampung")</f>
        <v>Jl. Lebung Curup, Rejo Sari, Kotabumi, Lampung Utara, Lampung</v>
      </c>
      <c r="R1150" s="7" t="str">
        <f>IFERROR(__xludf.DUMMYFUNCTION("""COMPUTED_VALUE"""),"K")</f>
        <v>K</v>
      </c>
    </row>
    <row r="1151" ht="22.5" customHeight="1">
      <c r="A1151" s="6">
        <v>1150.0</v>
      </c>
      <c r="B1151" s="6" t="str">
        <f>IFERROR(__xludf.DUMMYFUNCTION("""COMPUTED_VALUE"""),"Petugas Keselematan dan Kesehatan Kerja")</f>
        <v>Petugas Keselematan dan Kesehatan Kerja</v>
      </c>
      <c r="F1151" s="6" t="str">
        <f>IFERROR(__xludf.DUMMYFUNCTION("""COMPUTED_VALUE"""),"MIRAWATI")</f>
        <v>MIRAWATI</v>
      </c>
      <c r="G1151" s="6" t="str">
        <f>IFERROR(__xludf.DUMMYFUNCTION("""COMPUTED_VALUE"""),"7403224601040202")</f>
        <v>7403224601040202</v>
      </c>
      <c r="J1151" s="7" t="str">
        <f>IFERROR(__xludf.DUMMYFUNCTION("""COMPUTED_VALUE"""),"PEREMPUAN")</f>
        <v>PEREMPUAN</v>
      </c>
      <c r="K1151" s="6" t="str">
        <f>IFERROR(__xludf.DUMMYFUNCTION("""COMPUTED_VALUE"""),"Desa Fongkaniwa")</f>
        <v>Desa Fongkaniwa</v>
      </c>
      <c r="R1151" s="7" t="str">
        <f>IFERROR(__xludf.DUMMYFUNCTION("""COMPUTED_VALUE"""),"K")</f>
        <v>K</v>
      </c>
    </row>
    <row r="1152" ht="22.5" customHeight="1">
      <c r="A1152" s="6">
        <v>1151.0</v>
      </c>
      <c r="B1152" s="6" t="str">
        <f>IFERROR(__xludf.DUMMYFUNCTION("""COMPUTED_VALUE"""),"Petugas Keselematan dan Kesehatan Kerja")</f>
        <v>Petugas Keselematan dan Kesehatan Kerja</v>
      </c>
      <c r="F1152" s="6" t="str">
        <f>IFERROR(__xludf.DUMMYFUNCTION("""COMPUTED_VALUE"""),"LA ODE LUKMAN ")</f>
        <v>LA ODE LUKMAN </v>
      </c>
      <c r="G1152" s="6" t="str">
        <f>IFERROR(__xludf.DUMMYFUNCTION("""COMPUTED_VALUE"""),"7404310107000052")</f>
        <v>7404310107000052</v>
      </c>
      <c r="J1152" s="7" t="str">
        <f>IFERROR(__xludf.DUMMYFUNCTION("""COMPUTED_VALUE"""),"LAKI-LAKI")</f>
        <v>LAKI-LAKI</v>
      </c>
      <c r="K1152" s="6" t="str">
        <f>IFERROR(__xludf.DUMMYFUNCTION("""COMPUTED_VALUE"""),"Sampuabalo Mekar ")</f>
        <v>Sampuabalo Mekar </v>
      </c>
      <c r="R1152" s="7" t="str">
        <f>IFERROR(__xludf.DUMMYFUNCTION("""COMPUTED_VALUE"""),"BK")</f>
        <v>BK</v>
      </c>
    </row>
    <row r="1153" ht="22.5" customHeight="1">
      <c r="A1153" s="6">
        <v>1152.0</v>
      </c>
      <c r="B1153" s="6" t="str">
        <f>IFERROR(__xludf.DUMMYFUNCTION("""COMPUTED_VALUE"""),"Petugas Keselematan dan Kesehatan Kerja")</f>
        <v>Petugas Keselematan dan Kesehatan Kerja</v>
      </c>
      <c r="F1153" s="6" t="str">
        <f>IFERROR(__xludf.DUMMYFUNCTION("""COMPUTED_VALUE"""),"La ode muhammad maulidin")</f>
        <v>La ode muhammad maulidin</v>
      </c>
      <c r="G1153" s="6" t="str">
        <f>IFERROR(__xludf.DUMMYFUNCTION("""COMPUTED_VALUE"""),"7403111405030201")</f>
        <v>7403111405030201</v>
      </c>
      <c r="J1153" s="7" t="str">
        <f>IFERROR(__xludf.DUMMYFUNCTION("""COMPUTED_VALUE"""),"LAKI-LAKI")</f>
        <v>LAKI-LAKI</v>
      </c>
      <c r="K1153" s="6" t="str">
        <f>IFERROR(__xludf.DUMMYFUNCTION("""COMPUTED_VALUE"""),"Jalan Sawerigading")</f>
        <v>Jalan Sawerigading</v>
      </c>
      <c r="R1153" s="7" t="str">
        <f>IFERROR(__xludf.DUMMYFUNCTION("""COMPUTED_VALUE"""),"K")</f>
        <v>K</v>
      </c>
    </row>
    <row r="1154" ht="22.5" customHeight="1">
      <c r="A1154" s="6">
        <v>1153.0</v>
      </c>
      <c r="B1154" s="6" t="str">
        <f>IFERROR(__xludf.DUMMYFUNCTION("""COMPUTED_VALUE"""),"Petugas Keselematan dan Kesehatan Kerja")</f>
        <v>Petugas Keselematan dan Kesehatan Kerja</v>
      </c>
      <c r="F1154" s="6" t="str">
        <f>IFERROR(__xludf.DUMMYFUNCTION("""COMPUTED_VALUE"""),"Arlis")</f>
        <v>Arlis</v>
      </c>
      <c r="G1154" s="6" t="str">
        <f>IFERROR(__xludf.DUMMYFUNCTION("""COMPUTED_VALUE"""),"7401090802010001")</f>
        <v>7401090802010001</v>
      </c>
      <c r="J1154" s="7" t="str">
        <f>IFERROR(__xludf.DUMMYFUNCTION("""COMPUTED_VALUE"""),"LAKI-LAKI")</f>
        <v>LAKI-LAKI</v>
      </c>
      <c r="K1154" s="6" t="str">
        <f>IFERROR(__xludf.DUMMYFUNCTION("""COMPUTED_VALUE"""),"Lingk IV. Kel. Ladongi, Kec. Ladongi Kab. Kolaka Timur")</f>
        <v>Lingk IV. Kel. Ladongi, Kec. Ladongi Kab. Kolaka Timur</v>
      </c>
      <c r="R1154" s="7" t="str">
        <f>IFERROR(__xludf.DUMMYFUNCTION("""COMPUTED_VALUE"""),"K")</f>
        <v>K</v>
      </c>
    </row>
    <row r="1155" ht="22.5" customHeight="1">
      <c r="A1155" s="6">
        <v>1154.0</v>
      </c>
      <c r="B1155" s="6" t="str">
        <f>IFERROR(__xludf.DUMMYFUNCTION("""COMPUTED_VALUE"""),"Petugas Keselematan dan Kesehatan Kerja")</f>
        <v>Petugas Keselematan dan Kesehatan Kerja</v>
      </c>
      <c r="F1155" s="6" t="str">
        <f>IFERROR(__xludf.DUMMYFUNCTION("""COMPUTED_VALUE"""),"Muhamad Anggi ")</f>
        <v>Muhamad Anggi </v>
      </c>
      <c r="G1155" s="6" t="str">
        <f>IFERROR(__xludf.DUMMYFUNCTION("""COMPUTED_VALUE"""),"7472022901020002")</f>
        <v>7472022901020002</v>
      </c>
      <c r="J1155" s="7" t="str">
        <f>IFERROR(__xludf.DUMMYFUNCTION("""COMPUTED_VALUE"""),"LAKI-LAKI")</f>
        <v>LAKI-LAKI</v>
      </c>
      <c r="K1155" s="6" t="str">
        <f>IFERROR(__xludf.DUMMYFUNCTION("""COMPUTED_VALUE"""),"Anawai, Kec. Wua-Wua, Kota Kendari, Sulawesi Tenggara 93117")</f>
        <v>Anawai, Kec. Wua-Wua, Kota Kendari, Sulawesi Tenggara 93117</v>
      </c>
      <c r="R1155" s="7" t="str">
        <f>IFERROR(__xludf.DUMMYFUNCTION("""COMPUTED_VALUE"""),"k")</f>
        <v>k</v>
      </c>
    </row>
    <row r="1156" ht="22.5" customHeight="1">
      <c r="A1156" s="6">
        <v>1155.0</v>
      </c>
      <c r="B1156" s="6" t="str">
        <f>IFERROR(__xludf.DUMMYFUNCTION("""COMPUTED_VALUE"""),"Petugas Keselematan dan Kesehatan Kerja")</f>
        <v>Petugas Keselematan dan Kesehatan Kerja</v>
      </c>
      <c r="F1156" s="6" t="str">
        <f>IFERROR(__xludf.DUMMYFUNCTION("""COMPUTED_VALUE"""),"Yudya Kurnia Sari")</f>
        <v>Yudya Kurnia Sari</v>
      </c>
      <c r="G1156" s="6" t="str">
        <f>IFERROR(__xludf.DUMMYFUNCTION("""COMPUTED_VALUE"""),"7318204310020001")</f>
        <v>7318204310020001</v>
      </c>
      <c r="J1156" s="7" t="str">
        <f>IFERROR(__xludf.DUMMYFUNCTION("""COMPUTED_VALUE"""),"PEREMPUAN")</f>
        <v>PEREMPUAN</v>
      </c>
      <c r="K1156" s="6" t="str">
        <f>IFERROR(__xludf.DUMMYFUNCTION("""COMPUTED_VALUE"""),"Buttang, Kecamatan Malimbong Balepe, Kabupaten Tana Toraja, Provinsi Sulawesi Selatan")</f>
        <v>Buttang, Kecamatan Malimbong Balepe, Kabupaten Tana Toraja, Provinsi Sulawesi Selatan</v>
      </c>
      <c r="R1156" s="7" t="str">
        <f>IFERROR(__xludf.DUMMYFUNCTION("""COMPUTED_VALUE"""),"K")</f>
        <v>K</v>
      </c>
    </row>
    <row r="1157" ht="22.5" customHeight="1">
      <c r="A1157" s="6">
        <v>1156.0</v>
      </c>
      <c r="B1157" s="6" t="str">
        <f>IFERROR(__xludf.DUMMYFUNCTION("""COMPUTED_VALUE"""),"Petugas Keselematan dan Kesehatan Kerja")</f>
        <v>Petugas Keselematan dan Kesehatan Kerja</v>
      </c>
      <c r="F1157" s="6" t="str">
        <f>IFERROR(__xludf.DUMMYFUNCTION("""COMPUTED_VALUE"""),"Dewi Sri Hartini")</f>
        <v>Dewi Sri Hartini</v>
      </c>
      <c r="G1157" s="6" t="str">
        <f>IFERROR(__xludf.DUMMYFUNCTION("""COMPUTED_VALUE"""),"7302016905030003")</f>
        <v>7302016905030003</v>
      </c>
      <c r="J1157" s="7" t="str">
        <f>IFERROR(__xludf.DUMMYFUNCTION("""COMPUTED_VALUE"""),"PEREMPUAN")</f>
        <v>PEREMPUAN</v>
      </c>
      <c r="K1157" s="6" t="str">
        <f>IFERROR(__xludf.DUMMYFUNCTION("""COMPUTED_VALUE"""),"BTN KUNIMOTO INDAH GRAHA, KAB.BULUKUMBA, SULAWESI SELATAN")</f>
        <v>BTN KUNIMOTO INDAH GRAHA, KAB.BULUKUMBA, SULAWESI SELATAN</v>
      </c>
      <c r="R1157" s="7" t="str">
        <f>IFERROR(__xludf.DUMMYFUNCTION("""COMPUTED_VALUE"""),"K")</f>
        <v>K</v>
      </c>
    </row>
    <row r="1158" ht="22.5" customHeight="1">
      <c r="A1158" s="6">
        <v>1157.0</v>
      </c>
      <c r="B1158" s="6" t="str">
        <f>IFERROR(__xludf.DUMMYFUNCTION("""COMPUTED_VALUE"""),"Petugas Keselematan dan Kesehatan Kerja")</f>
        <v>Petugas Keselematan dan Kesehatan Kerja</v>
      </c>
      <c r="F1158" s="6" t="str">
        <f>IFERROR(__xludf.DUMMYFUNCTION("""COMPUTED_VALUE"""),"Luluk Nofitasari Wijayanti ")</f>
        <v>Luluk Nofitasari Wijayanti </v>
      </c>
      <c r="G1158" s="6" t="str">
        <f>IFERROR(__xludf.DUMMYFUNCTION("""COMPUTED_VALUE"""),"3316106709010002")</f>
        <v>3316106709010002</v>
      </c>
      <c r="J1158" s="7" t="str">
        <f>IFERROR(__xludf.DUMMYFUNCTION("""COMPUTED_VALUE"""),"PEREMPUAN")</f>
        <v>PEREMPUAN</v>
      </c>
      <c r="K1158" s="6" t="str">
        <f>IFERROR(__xludf.DUMMYFUNCTION("""COMPUTED_VALUE"""),"Dk. Dongaren, RT 01/RW 01, Ds. Kedungrejo, Kec. Tunjungan, ")</f>
        <v>Dk. Dongaren, RT 01/RW 01, Ds. Kedungrejo, Kec. Tunjungan, </v>
      </c>
      <c r="R1158" s="7" t="str">
        <f>IFERROR(__xludf.DUMMYFUNCTION("""COMPUTED_VALUE"""),"K")</f>
        <v>K</v>
      </c>
    </row>
    <row r="1159" ht="22.5" customHeight="1">
      <c r="A1159" s="6">
        <v>1158.0</v>
      </c>
      <c r="B1159" s="6" t="str">
        <f>IFERROR(__xludf.DUMMYFUNCTION("""COMPUTED_VALUE"""),"Petugas Keselematan dan Kesehatan Kerja")</f>
        <v>Petugas Keselematan dan Kesehatan Kerja</v>
      </c>
      <c r="F1159" s="6" t="str">
        <f>IFERROR(__xludf.DUMMYFUNCTION("""COMPUTED_VALUE"""),"Wasriana")</f>
        <v>Wasriana</v>
      </c>
      <c r="G1159" s="6" t="str">
        <f>IFERROR(__xludf.DUMMYFUNCTION("""COMPUTED_VALUE"""),"7405134209010001")</f>
        <v>7405134209010001</v>
      </c>
      <c r="J1159" s="7" t="str">
        <f>IFERROR(__xludf.DUMMYFUNCTION("""COMPUTED_VALUE"""),"PEREMPUAN")</f>
        <v>PEREMPUAN</v>
      </c>
      <c r="K1159" s="6" t="str">
        <f>IFERROR(__xludf.DUMMYFUNCTION("""COMPUTED_VALUE"""),"desa benua,kecamatan benua, kabupaten Konawe selatan")</f>
        <v>desa benua,kecamatan benua, kabupaten Konawe selatan</v>
      </c>
      <c r="R1159" s="7" t="str">
        <f>IFERROR(__xludf.DUMMYFUNCTION("""COMPUTED_VALUE"""),"K")</f>
        <v>K</v>
      </c>
    </row>
    <row r="1160" ht="22.5" customHeight="1">
      <c r="A1160" s="6">
        <v>1159.0</v>
      </c>
      <c r="B1160" s="6" t="str">
        <f>IFERROR(__xludf.DUMMYFUNCTION("""COMPUTED_VALUE"""),"Petugas Keselematan dan Kesehatan Kerja")</f>
        <v>Petugas Keselematan dan Kesehatan Kerja</v>
      </c>
      <c r="F1160" s="6" t="str">
        <f>IFERROR(__xludf.DUMMYFUNCTION("""COMPUTED_VALUE"""),"Hamdana Nur Magfirah")</f>
        <v>Hamdana Nur Magfirah</v>
      </c>
      <c r="G1160" s="6" t="str">
        <f>IFERROR(__xludf.DUMMYFUNCTION("""COMPUTED_VALUE"""),"7302024611030002")</f>
        <v>7302024611030002</v>
      </c>
      <c r="J1160" s="7" t="str">
        <f>IFERROR(__xludf.DUMMYFUNCTION("""COMPUTED_VALUE"""),"PEREMPUAN")</f>
        <v>PEREMPUAN</v>
      </c>
      <c r="K1160" s="6" t="str">
        <f>IFERROR(__xludf.DUMMYFUNCTION("""COMPUTED_VALUE"""),"Btn. Grand Asri")</f>
        <v>Btn. Grand Asri</v>
      </c>
      <c r="R1160" s="7" t="str">
        <f>IFERROR(__xludf.DUMMYFUNCTION("""COMPUTED_VALUE"""),"K")</f>
        <v>K</v>
      </c>
    </row>
    <row r="1161" ht="22.5" customHeight="1">
      <c r="A1161" s="6">
        <v>1160.0</v>
      </c>
      <c r="B1161" s="6" t="str">
        <f>IFERROR(__xludf.DUMMYFUNCTION("""COMPUTED_VALUE"""),"Petugas Keselematan dan Kesehatan Kerja")</f>
        <v>Petugas Keselematan dan Kesehatan Kerja</v>
      </c>
      <c r="F1161" s="6" t="str">
        <f>IFERROR(__xludf.DUMMYFUNCTION("""COMPUTED_VALUE"""),"Ayu Ristika Dewi")</f>
        <v>Ayu Ristika Dewi</v>
      </c>
      <c r="G1161" s="6" t="str">
        <f>IFERROR(__xludf.DUMMYFUNCTION("""COMPUTED_VALUE"""),"7471046105030001")</f>
        <v>7471046105030001</v>
      </c>
      <c r="J1161" s="7" t="str">
        <f>IFERROR(__xludf.DUMMYFUNCTION("""COMPUTED_VALUE"""),"PEREMPUAN")</f>
        <v>PEREMPUAN</v>
      </c>
      <c r="K1161" s="6" t="str">
        <f>IFERROR(__xludf.DUMMYFUNCTION("""COMPUTED_VALUE"""),"Btn rezky III anggoeya blok.A no.36")</f>
        <v>Btn rezky III anggoeya blok.A no.36</v>
      </c>
      <c r="R1161" s="7" t="str">
        <f>IFERROR(__xludf.DUMMYFUNCTION("""COMPUTED_VALUE"""),"K")</f>
        <v>K</v>
      </c>
    </row>
    <row r="1162" ht="22.5" customHeight="1">
      <c r="A1162" s="6">
        <v>1161.0</v>
      </c>
      <c r="B1162" s="6" t="str">
        <f>IFERROR(__xludf.DUMMYFUNCTION("""COMPUTED_VALUE"""),"Petugas Keselematan dan Kesehatan Kerja")</f>
        <v>Petugas Keselematan dan Kesehatan Kerja</v>
      </c>
      <c r="F1162" s="6" t="str">
        <f>IFERROR(__xludf.DUMMYFUNCTION("""COMPUTED_VALUE"""),"Indy Fatikasari Mahruddin")</f>
        <v>Indy Fatikasari Mahruddin</v>
      </c>
      <c r="G1162" s="6" t="str">
        <f>IFERROR(__xludf.DUMMYFUNCTION("""COMPUTED_VALUE"""),"7311025307030001")</f>
        <v>7311025307030001</v>
      </c>
      <c r="J1162" s="7" t="str">
        <f>IFERROR(__xludf.DUMMYFUNCTION("""COMPUTED_VALUE"""),"PEREMPUAN")</f>
        <v>PEREMPUAN</v>
      </c>
      <c r="K1162" s="6" t="str">
        <f>IFERROR(__xludf.DUMMYFUNCTION("""COMPUTED_VALUE"""),"Mate'ne, Kel. Tanete, Kec. Tanete Rilau")</f>
        <v>Mate'ne, Kel. Tanete, Kec. Tanete Rilau</v>
      </c>
      <c r="R1162" s="7" t="str">
        <f>IFERROR(__xludf.DUMMYFUNCTION("""COMPUTED_VALUE"""),"K")</f>
        <v>K</v>
      </c>
    </row>
    <row r="1163" ht="22.5" customHeight="1">
      <c r="A1163" s="6">
        <v>1162.0</v>
      </c>
      <c r="B1163" s="6" t="str">
        <f>IFERROR(__xludf.DUMMYFUNCTION("""COMPUTED_VALUE"""),"Supervisor Sumber Daya Manusia")</f>
        <v>Supervisor Sumber Daya Manusia</v>
      </c>
      <c r="F1163" s="6" t="str">
        <f>IFERROR(__xludf.DUMMYFUNCTION("""COMPUTED_VALUE"""),"AHMAD SYAHDAN")</f>
        <v>AHMAD SYAHDAN</v>
      </c>
      <c r="G1163" s="6" t="str">
        <f>IFERROR(__xludf.DUMMYFUNCTION("""COMPUTED_VALUE"""),"7402303001010001")</f>
        <v>7402303001010001</v>
      </c>
      <c r="J1163" s="7" t="str">
        <f>IFERROR(__xludf.DUMMYFUNCTION("""COMPUTED_VALUE"""),"LAKI-LAKI")</f>
        <v>LAKI-LAKI</v>
      </c>
      <c r="K1163" s="6" t="str">
        <f>IFERROR(__xludf.DUMMYFUNCTION("""COMPUTED_VALUE"""),"Kel. Lampeapi, kec. Wawonii tengah, kab. Konawe Kepulauan ")</f>
        <v>Kel. Lampeapi, kec. Wawonii tengah, kab. Konawe Kepulauan </v>
      </c>
      <c r="R1163" s="7" t="str">
        <f>IFERROR(__xludf.DUMMYFUNCTION("""COMPUTED_VALUE"""),"K")</f>
        <v>K</v>
      </c>
    </row>
    <row r="1164" ht="22.5" customHeight="1">
      <c r="A1164" s="6">
        <v>1163.0</v>
      </c>
      <c r="B1164" s="6" t="str">
        <f>IFERROR(__xludf.DUMMYFUNCTION("""COMPUTED_VALUE"""),"Supervisor Sumber Daya Manusia")</f>
        <v>Supervisor Sumber Daya Manusia</v>
      </c>
      <c r="F1164" s="6" t="str">
        <f>IFERROR(__xludf.DUMMYFUNCTION("""COMPUTED_VALUE"""),"Alfrida Palangda")</f>
        <v>Alfrida Palangda</v>
      </c>
      <c r="G1164" s="6" t="str">
        <f>IFERROR(__xludf.DUMMYFUNCTION("""COMPUTED_VALUE"""),"7318294804030001")</f>
        <v>7318294804030001</v>
      </c>
      <c r="J1164" s="7" t="str">
        <f>IFERROR(__xludf.DUMMYFUNCTION("""COMPUTED_VALUE"""),"PEREMPUAN")</f>
        <v>PEREMPUAN</v>
      </c>
      <c r="K1164" s="6" t="str">
        <f>IFERROR(__xludf.DUMMYFUNCTION("""COMPUTED_VALUE"""),"Tana Toraja")</f>
        <v>Tana Toraja</v>
      </c>
      <c r="R1164" s="7" t="str">
        <f>IFERROR(__xludf.DUMMYFUNCTION("""COMPUTED_VALUE"""),"K")</f>
        <v>K</v>
      </c>
    </row>
    <row r="1165" ht="22.5" customHeight="1">
      <c r="A1165" s="6">
        <v>1164.0</v>
      </c>
      <c r="B1165" s="6" t="str">
        <f>IFERROR(__xludf.DUMMYFUNCTION("""COMPUTED_VALUE"""),"Analis Data (Data Analyst)")</f>
        <v>Analis Data (Data Analyst)</v>
      </c>
      <c r="F1165" s="6" t="str">
        <f>IFERROR(__xludf.DUMMYFUNCTION("""COMPUTED_VALUE"""),"Anis Raudhatul Eni")</f>
        <v>Anis Raudhatul Eni</v>
      </c>
      <c r="G1165" s="6" t="str">
        <f>IFERROR(__xludf.DUMMYFUNCTION("""COMPUTED_VALUE"""),"7471104501040001")</f>
        <v>7471104501040001</v>
      </c>
      <c r="J1165" s="7" t="str">
        <f>IFERROR(__xludf.DUMMYFUNCTION("""COMPUTED_VALUE"""),"PEREMPUAN")</f>
        <v>PEREMPUAN</v>
      </c>
      <c r="K1165" s="6" t="str">
        <f>IFERROR(__xludf.DUMMYFUNCTION("""COMPUTED_VALUE"""),"Kompleks Manggarai Residence, Blok D No 9")</f>
        <v>Kompleks Manggarai Residence, Blok D No 9</v>
      </c>
      <c r="R1165" s="7" t="str">
        <f>IFERROR(__xludf.DUMMYFUNCTION("""COMPUTED_VALUE"""),"K")</f>
        <v>K</v>
      </c>
    </row>
    <row r="1166" ht="22.5" customHeight="1">
      <c r="A1166" s="6">
        <v>1165.0</v>
      </c>
      <c r="B1166" s="6" t="str">
        <f>IFERROR(__xludf.DUMMYFUNCTION("""COMPUTED_VALUE"""),"Analis Data (Data Analyst)")</f>
        <v>Analis Data (Data Analyst)</v>
      </c>
      <c r="F1166" s="6" t="str">
        <f>IFERROR(__xludf.DUMMYFUNCTION("""COMPUTED_VALUE"""),"Rina")</f>
        <v>Rina</v>
      </c>
      <c r="G1166" s="6" t="str">
        <f>IFERROR(__xludf.DUMMYFUNCTION("""COMPUTED_VALUE"""),"7403194705020201")</f>
        <v>7403194705020201</v>
      </c>
      <c r="J1166" s="7" t="str">
        <f>IFERROR(__xludf.DUMMYFUNCTION("""COMPUTED_VALUE"""),"PEREMPUAN")</f>
        <v>PEREMPUAN</v>
      </c>
      <c r="K1166" s="6" t="str">
        <f>IFERROR(__xludf.DUMMYFUNCTION("""COMPUTED_VALUE"""),"Wanggu Permai, Lepo-Lepo, Baruga")</f>
        <v>Wanggu Permai, Lepo-Lepo, Baruga</v>
      </c>
      <c r="R1166" s="7" t="str">
        <f>IFERROR(__xludf.DUMMYFUNCTION("""COMPUTED_VALUE"""),"K")</f>
        <v>K</v>
      </c>
    </row>
    <row r="1167" ht="22.5" customHeight="1">
      <c r="A1167" s="6">
        <v>1166.0</v>
      </c>
      <c r="B1167" s="6" t="str">
        <f>IFERROR(__xludf.DUMMYFUNCTION("""COMPUTED_VALUE"""),"Pembuatan Desain Grafis")</f>
        <v>Pembuatan Desain Grafis</v>
      </c>
      <c r="F1167" s="6" t="str">
        <f>IFERROR(__xludf.DUMMYFUNCTION("""COMPUTED_VALUE"""),"Dika Saputra, S.T.P")</f>
        <v>Dika Saputra, S.T.P</v>
      </c>
      <c r="G1167" s="6" t="str">
        <f>IFERROR(__xludf.DUMMYFUNCTION("""COMPUTED_VALUE"""),"7410011101020002")</f>
        <v>7410011101020002</v>
      </c>
      <c r="J1167" s="7" t="str">
        <f>IFERROR(__xludf.DUMMYFUNCTION("""COMPUTED_VALUE"""),"LAKI-LAKI")</f>
        <v>LAKI-LAKI</v>
      </c>
      <c r="K1167" s="6" t="str">
        <f>IFERROR(__xludf.DUMMYFUNCTION("""COMPUTED_VALUE"""),"Jl. Hati Bi'Ea Kel. Wandaka Kec. Kulisusu ")</f>
        <v>Jl. Hati Bi'Ea Kel. Wandaka Kec. Kulisusu </v>
      </c>
      <c r="R1167" s="7" t="str">
        <f>IFERROR(__xludf.DUMMYFUNCTION("""COMPUTED_VALUE"""),"BK")</f>
        <v>BK</v>
      </c>
    </row>
    <row r="1168" ht="22.5" customHeight="1">
      <c r="A1168" s="6">
        <v>1167.0</v>
      </c>
      <c r="B1168" s="6" t="str">
        <f>IFERROR(__xludf.DUMMYFUNCTION("""COMPUTED_VALUE"""),"Pembuatan Desain Grafis")</f>
        <v>Pembuatan Desain Grafis</v>
      </c>
      <c r="F1168" s="6" t="str">
        <f>IFERROR(__xludf.DUMMYFUNCTION("""COMPUTED_VALUE"""),"Dian Ayu Lestari ")</f>
        <v>Dian Ayu Lestari </v>
      </c>
      <c r="G1168" s="6" t="str">
        <f>IFERROR(__xludf.DUMMYFUNCTION("""COMPUTED_VALUE"""),"7406086112030001")</f>
        <v>7406086112030001</v>
      </c>
      <c r="J1168" s="7" t="str">
        <f>IFERROR(__xludf.DUMMYFUNCTION("""COMPUTED_VALUE"""),"PEREMPUAN")</f>
        <v>PEREMPUAN</v>
      </c>
      <c r="K1168" s="6" t="str">
        <f>IFERROR(__xludf.DUMMYFUNCTION("""COMPUTED_VALUE"""),"Jl.haluoleo, lrg. Lampareng 2, BTN. Bukit Madani Permai, Kel. Andonohu, Kec. Poasia, Kota Kendari")</f>
        <v>Jl.haluoleo, lrg. Lampareng 2, BTN. Bukit Madani Permai, Kel. Andonohu, Kec. Poasia, Kota Kendari</v>
      </c>
      <c r="R1168" s="7" t="str">
        <f>IFERROR(__xludf.DUMMYFUNCTION("""COMPUTED_VALUE"""),"K")</f>
        <v>K</v>
      </c>
    </row>
    <row r="1169" ht="22.5" customHeight="1">
      <c r="A1169" s="6">
        <v>1168.0</v>
      </c>
      <c r="B1169" s="6" t="str">
        <f>IFERROR(__xludf.DUMMYFUNCTION("""COMPUTED_VALUE"""),"Pelayanan Pelanggan")</f>
        <v>Pelayanan Pelanggan</v>
      </c>
      <c r="F1169" s="6" t="str">
        <f>IFERROR(__xludf.DUMMYFUNCTION("""COMPUTED_VALUE"""),"AQIM THOYYIB MUSIDI")</f>
        <v>AQIM THOYYIB MUSIDI</v>
      </c>
      <c r="G1169" s="6" t="str">
        <f>IFERROR(__xludf.DUMMYFUNCTION("""COMPUTED_VALUE"""),"7472032104020001")</f>
        <v>7472032104020001</v>
      </c>
      <c r="J1169" s="7" t="str">
        <f>IFERROR(__xludf.DUMMYFUNCTION("""COMPUTED_VALUE"""),"LAKI-LAKI")</f>
        <v>LAKI-LAKI</v>
      </c>
      <c r="K1169" s="6" t="str">
        <f>IFERROR(__xludf.DUMMYFUNCTION("""COMPUTED_VALUE"""),"Kel. Kaisabu Baru, Kec. Sorawolio")</f>
        <v>Kel. Kaisabu Baru, Kec. Sorawolio</v>
      </c>
      <c r="R1169" s="7" t="str">
        <f>IFERROR(__xludf.DUMMYFUNCTION("""COMPUTED_VALUE"""),"K")</f>
        <v>K</v>
      </c>
    </row>
    <row r="1170" ht="22.5" customHeight="1">
      <c r="A1170" s="6">
        <v>1169.0</v>
      </c>
      <c r="B1170" s="6" t="str">
        <f>IFERROR(__xludf.DUMMYFUNCTION("""COMPUTED_VALUE"""),"Pengelolaan Administrasi Perkantoraan")</f>
        <v>Pengelolaan Administrasi Perkantoraan</v>
      </c>
      <c r="F1170" s="6" t="str">
        <f>IFERROR(__xludf.DUMMYFUNCTION("""COMPUTED_VALUE"""),"Yulianus Palette ")</f>
        <v>Yulianus Palette </v>
      </c>
      <c r="G1170" s="6" t="str">
        <f>IFERROR(__xludf.DUMMYFUNCTION("""COMPUTED_VALUE"""),"7471072607020001")</f>
        <v>7471072607020001</v>
      </c>
      <c r="J1170" s="7" t="str">
        <f>IFERROR(__xludf.DUMMYFUNCTION("""COMPUTED_VALUE"""),"LAKI-LAKI")</f>
        <v>LAKI-LAKI</v>
      </c>
      <c r="K1170" s="6" t="str">
        <f>IFERROR(__xludf.DUMMYFUNCTION("""COMPUTED_VALUE"""),"Jl. R Soeprapto ")</f>
        <v>Jl. R Soeprapto </v>
      </c>
      <c r="R1170" s="7" t="str">
        <f>IFERROR(__xludf.DUMMYFUNCTION("""COMPUTED_VALUE"""),"K")</f>
        <v>K</v>
      </c>
    </row>
    <row r="1171" ht="22.5" customHeight="1">
      <c r="A1171" s="6">
        <v>1170.0</v>
      </c>
      <c r="B1171" s="6" t="str">
        <f>IFERROR(__xludf.DUMMYFUNCTION("""COMPUTED_VALUE"""),"Pengelolaan Administrasi Perkantoraan")</f>
        <v>Pengelolaan Administrasi Perkantoraan</v>
      </c>
      <c r="F1171" s="6" t="str">
        <f>IFERROR(__xludf.DUMMYFUNCTION("""COMPUTED_VALUE"""),"YULI MULYANA")</f>
        <v>YULI MULYANA</v>
      </c>
      <c r="G1171" s="6" t="str">
        <f>IFERROR(__xludf.DUMMYFUNCTION("""COMPUTED_VALUE"""),"7401195209030005")</f>
        <v>7401195209030005</v>
      </c>
      <c r="J1171" s="7" t="str">
        <f>IFERROR(__xludf.DUMMYFUNCTION("""COMPUTED_VALUE"""),"PEREMPUAN")</f>
        <v>PEREMPUAN</v>
      </c>
      <c r="K1171" s="6" t="str">
        <f>IFERROR(__xludf.DUMMYFUNCTION("""COMPUTED_VALUE"""),"Desa Mondoke, Kec. Lambandia, Kab. Kolaka Timur")</f>
        <v>Desa Mondoke, Kec. Lambandia, Kab. Kolaka Timur</v>
      </c>
      <c r="R1171" s="7" t="str">
        <f>IFERROR(__xludf.DUMMYFUNCTION("""COMPUTED_VALUE"""),"K")</f>
        <v>K</v>
      </c>
    </row>
    <row r="1172" ht="22.5" customHeight="1">
      <c r="A1172" s="6">
        <v>1171.0</v>
      </c>
      <c r="B1172" s="6" t="str">
        <f>IFERROR(__xludf.DUMMYFUNCTION("""COMPUTED_VALUE"""),"Pengelolaan Administrasi Perkantoraan")</f>
        <v>Pengelolaan Administrasi Perkantoraan</v>
      </c>
      <c r="F1172" s="6" t="str">
        <f>IFERROR(__xludf.DUMMYFUNCTION("""COMPUTED_VALUE"""),"JORDI SETIAWAN")</f>
        <v>JORDI SETIAWAN</v>
      </c>
      <c r="G1172" s="6" t="str">
        <f>IFERROR(__xludf.DUMMYFUNCTION("""COMPUTED_VALUE"""),"7405151301030001")</f>
        <v>7405151301030001</v>
      </c>
      <c r="J1172" s="7" t="str">
        <f>IFERROR(__xludf.DUMMYFUNCTION("""COMPUTED_VALUE"""),"LAKI-LAKI")</f>
        <v>LAKI-LAKI</v>
      </c>
      <c r="K1172" s="6" t="str">
        <f>IFERROR(__xludf.DUMMYFUNCTION("""COMPUTED_VALUE"""),"Jl. Belimbing, BTN WIRABUANA BLOK H1 No.14")</f>
        <v>Jl. Belimbing, BTN WIRABUANA BLOK H1 No.14</v>
      </c>
      <c r="R1172" s="7" t="str">
        <f>IFERROR(__xludf.DUMMYFUNCTION("""COMPUTED_VALUE"""),"K")</f>
        <v>K</v>
      </c>
    </row>
    <row r="1173" ht="22.5" customHeight="1">
      <c r="A1173" s="6">
        <v>1172.0</v>
      </c>
      <c r="B1173" s="6" t="str">
        <f>IFERROR(__xludf.DUMMYFUNCTION("""COMPUTED_VALUE"""),"Operator Komputer (Computer Operator")</f>
        <v>Operator Komputer (Computer Operator</v>
      </c>
      <c r="F1173" s="6" t="str">
        <f>IFERROR(__xludf.DUMMYFUNCTION("""COMPUTED_VALUE"""),"Mamat Maulana Salim")</f>
        <v>Mamat Maulana Salim</v>
      </c>
      <c r="G1173" s="6" t="str">
        <f>IFERROR(__xludf.DUMMYFUNCTION("""COMPUTED_VALUE"""),"7403222405020001")</f>
        <v>7403222405020001</v>
      </c>
      <c r="J1173" s="7" t="str">
        <f>IFERROR(__xludf.DUMMYFUNCTION("""COMPUTED_VALUE"""),"LAKI-LAKI")</f>
        <v>LAKI-LAKI</v>
      </c>
      <c r="K1173" s="6" t="str">
        <f>IFERROR(__xludf.DUMMYFUNCTION("""COMPUTED_VALUE"""),"Kelurahan Tombula, Kecamatan Tongkuno, Kabupaten Muna")</f>
        <v>Kelurahan Tombula, Kecamatan Tongkuno, Kabupaten Muna</v>
      </c>
      <c r="R1173" s="7" t="str">
        <f>IFERROR(__xludf.DUMMYFUNCTION("""COMPUTED_VALUE"""),"K")</f>
        <v>K</v>
      </c>
    </row>
    <row r="1174" ht="22.5" customHeight="1">
      <c r="A1174" s="6">
        <v>1173.0</v>
      </c>
      <c r="B1174" s="6" t="str">
        <f>IFERROR(__xludf.DUMMYFUNCTION("""COMPUTED_VALUE"""),"Operator Komputer (Computer Operator")</f>
        <v>Operator Komputer (Computer Operator</v>
      </c>
      <c r="F1174" s="6" t="str">
        <f>IFERROR(__xludf.DUMMYFUNCTION("""COMPUTED_VALUE"""),"Fenti Nur")</f>
        <v>Fenti Nur</v>
      </c>
      <c r="G1174" s="6" t="str">
        <f>IFERROR(__xludf.DUMMYFUNCTION("""COMPUTED_VALUE"""),"7407055006040001")</f>
        <v>7407055006040001</v>
      </c>
      <c r="J1174" s="7" t="str">
        <f>IFERROR(__xludf.DUMMYFUNCTION("""COMPUTED_VALUE"""),"PEREMPUAN")</f>
        <v>PEREMPUAN</v>
      </c>
      <c r="K1174" s="6" t="str">
        <f>IFERROR(__xludf.DUMMYFUNCTION("""COMPUTED_VALUE"""),"Laengga")</f>
        <v>Laengga</v>
      </c>
      <c r="R1174" s="7" t="str">
        <f>IFERROR(__xludf.DUMMYFUNCTION("""COMPUTED_VALUE"""),"K")</f>
        <v>K</v>
      </c>
    </row>
    <row r="1175" ht="22.5" customHeight="1">
      <c r="A1175" s="6">
        <v>1174.0</v>
      </c>
      <c r="B1175" s="6" t="str">
        <f>IFERROR(__xludf.DUMMYFUNCTION("""COMPUTED_VALUE"""),"Operator Komputer (Computer Operator")</f>
        <v>Operator Komputer (Computer Operator</v>
      </c>
      <c r="F1175" s="6" t="str">
        <f>IFERROR(__xludf.DUMMYFUNCTION("""COMPUTED_VALUE"""),"Ilham Asi")</f>
        <v>Ilham Asi</v>
      </c>
      <c r="G1175" s="6" t="str">
        <f>IFERROR(__xludf.DUMMYFUNCTION("""COMPUTED_VALUE"""),"7404310510030003")</f>
        <v>7404310510030003</v>
      </c>
      <c r="J1175" s="7" t="str">
        <f>IFERROR(__xludf.DUMMYFUNCTION("""COMPUTED_VALUE"""),"LAKI-LAKI")</f>
        <v>LAKI-LAKI</v>
      </c>
      <c r="K1175" s="6" t="str">
        <f>IFERROR(__xludf.DUMMYFUNCTION("""COMPUTED_VALUE"""),"JL. POROS PASARWAJO-LASALIMU")</f>
        <v>JL. POROS PASARWAJO-LASALIMU</v>
      </c>
      <c r="R1175" s="7" t="str">
        <f>IFERROR(__xludf.DUMMYFUNCTION("""COMPUTED_VALUE"""),"K")</f>
        <v>K</v>
      </c>
    </row>
    <row r="1176" ht="22.5" customHeight="1">
      <c r="A1176" s="6">
        <v>1175.0</v>
      </c>
      <c r="B1176" s="6" t="str">
        <f>IFERROR(__xludf.DUMMYFUNCTION("""COMPUTED_VALUE"""),"Operator Komputer (Computer Operator")</f>
        <v>Operator Komputer (Computer Operator</v>
      </c>
      <c r="F1176" s="6" t="str">
        <f>IFERROR(__xludf.DUMMYFUNCTION("""COMPUTED_VALUE"""),"La Ode Reynald Ibrahim")</f>
        <v>La Ode Reynald Ibrahim</v>
      </c>
      <c r="G1176" s="6" t="str">
        <f>IFERROR(__xludf.DUMMYFUNCTION("""COMPUTED_VALUE"""),"7407051205020001")</f>
        <v>7407051205020001</v>
      </c>
      <c r="J1176" s="7" t="str">
        <f>IFERROR(__xludf.DUMMYFUNCTION("""COMPUTED_VALUE"""),"LAKI-LAKI")</f>
        <v>LAKI-LAKI</v>
      </c>
      <c r="K1176" s="6" t="str">
        <f>IFERROR(__xludf.DUMMYFUNCTION("""COMPUTED_VALUE"""),"dusun woru, Desa Liya Mawi")</f>
        <v>dusun woru, Desa Liya Mawi</v>
      </c>
      <c r="R1176" s="7" t="str">
        <f>IFERROR(__xludf.DUMMYFUNCTION("""COMPUTED_VALUE"""),"K")</f>
        <v>K</v>
      </c>
    </row>
    <row r="1177" ht="22.5" customHeight="1">
      <c r="A1177" s="6">
        <v>1176.0</v>
      </c>
      <c r="B1177" s="6" t="str">
        <f>IFERROR(__xludf.DUMMYFUNCTION("""COMPUTED_VALUE"""),"Analis Data (Data Analyst)")</f>
        <v>Analis Data (Data Analyst)</v>
      </c>
      <c r="F1177" s="6" t="str">
        <f>IFERROR(__xludf.DUMMYFUNCTION("""COMPUTED_VALUE"""),"MUHAMMAD ADLAN FIKRI")</f>
        <v>MUHAMMAD ADLAN FIKRI</v>
      </c>
      <c r="G1177" s="6" t="str">
        <f>IFERROR(__xludf.DUMMYFUNCTION("""COMPUTED_VALUE"""),"7406042503030001")</f>
        <v>7406042503030001</v>
      </c>
      <c r="J1177" s="7" t="str">
        <f>IFERROR(__xludf.DUMMYFUNCTION("""COMPUTED_VALUE"""),"LAKI-LAKI")</f>
        <v>LAKI-LAKI</v>
      </c>
      <c r="K1177" s="6" t="str">
        <f>IFERROR(__xludf.DUMMYFUNCTION("""COMPUTED_VALUE"""),"BTN Pasir Putih A No. 9")</f>
        <v>BTN Pasir Putih A No. 9</v>
      </c>
      <c r="R1177" s="7" t="str">
        <f>IFERROR(__xludf.DUMMYFUNCTION("""COMPUTED_VALUE"""),"K")</f>
        <v>K</v>
      </c>
    </row>
    <row r="1178" ht="22.5" customHeight="1">
      <c r="A1178" s="6">
        <v>1177.0</v>
      </c>
      <c r="B1178" s="6" t="str">
        <f>IFERROR(__xludf.DUMMYFUNCTION("""COMPUTED_VALUE"""),"Analis Data (Data Analyst)")</f>
        <v>Analis Data (Data Analyst)</v>
      </c>
      <c r="F1178" s="6" t="str">
        <f>IFERROR(__xludf.DUMMYFUNCTION("""COMPUTED_VALUE"""),"NOVIA TRI ANANDA ")</f>
        <v>NOVIA TRI ANANDA </v>
      </c>
      <c r="G1178" s="6" t="str">
        <f>IFERROR(__xludf.DUMMYFUNCTION("""COMPUTED_VALUE"""),"7402367003040001")</f>
        <v>7402367003040001</v>
      </c>
      <c r="J1178" s="7" t="str">
        <f>IFERROR(__xludf.DUMMYFUNCTION("""COMPUTED_VALUE"""),"PEREMPUAN")</f>
        <v>PEREMPUAN</v>
      </c>
      <c r="K1178" s="6" t="str">
        <f>IFERROR(__xludf.DUMMYFUNCTION("""COMPUTED_VALUE"""),"Desa Watunggarandu")</f>
        <v>Desa Watunggarandu</v>
      </c>
      <c r="R1178" s="7" t="str">
        <f>IFERROR(__xludf.DUMMYFUNCTION("""COMPUTED_VALUE"""),"K")</f>
        <v>K</v>
      </c>
    </row>
    <row r="1179" ht="22.5" customHeight="1">
      <c r="A1179" s="6">
        <v>1178.0</v>
      </c>
      <c r="B1179" s="6" t="str">
        <f>IFERROR(__xludf.DUMMYFUNCTION("""COMPUTED_VALUE"""),"Analis Data (Data Analyst)")</f>
        <v>Analis Data (Data Analyst)</v>
      </c>
      <c r="F1179" s="6" t="str">
        <f>IFERROR(__xludf.DUMMYFUNCTION("""COMPUTED_VALUE"""),"Asni Ningri Sari Nazar")</f>
        <v>Asni Ningri Sari Nazar</v>
      </c>
      <c r="G1179" s="6" t="str">
        <f>IFERROR(__xludf.DUMMYFUNCTION("""COMPUTED_VALUE"""),"7472064807000002")</f>
        <v>7472064807000002</v>
      </c>
      <c r="J1179" s="7" t="str">
        <f>IFERROR(__xludf.DUMMYFUNCTION("""COMPUTED_VALUE"""),"PEREMPUAN")</f>
        <v>PEREMPUAN</v>
      </c>
      <c r="K1179" s="6" t="str">
        <f>IFERROR(__xludf.DUMMYFUNCTION("""COMPUTED_VALUE"""),"Dusun melai, desa banabungi")</f>
        <v>Dusun melai, desa banabungi</v>
      </c>
      <c r="R1179" s="7" t="str">
        <f>IFERROR(__xludf.DUMMYFUNCTION("""COMPUTED_VALUE"""),"K")</f>
        <v>K</v>
      </c>
    </row>
    <row r="1180" ht="22.5" customHeight="1">
      <c r="A1180" s="6">
        <v>1179.0</v>
      </c>
      <c r="B1180" s="6" t="str">
        <f>IFERROR(__xludf.DUMMYFUNCTION("""COMPUTED_VALUE"""),"Analis Data (Data Analyst)")</f>
        <v>Analis Data (Data Analyst)</v>
      </c>
      <c r="F1180" s="6" t="str">
        <f>IFERROR(__xludf.DUMMYFUNCTION("""COMPUTED_VALUE"""),"SITI WAHYUNI")</f>
        <v>SITI WAHYUNI</v>
      </c>
      <c r="G1180" s="6" t="str">
        <f>IFERROR(__xludf.DUMMYFUNCTION("""COMPUTED_VALUE"""),"7472055306020001")</f>
        <v>7472055306020001</v>
      </c>
      <c r="J1180" s="7" t="str">
        <f>IFERROR(__xludf.DUMMYFUNCTION("""COMPUTED_VALUE"""),"PEREMPUAN")</f>
        <v>PEREMPUAN</v>
      </c>
      <c r="K1180" s="6" t="str">
        <f>IFERROR(__xludf.DUMMYFUNCTION("""COMPUTED_VALUE"""),"Jl. Sarikaya, Kel. Kadolo, Kec. Kokalukuna, Kota Baubau")</f>
        <v>Jl. Sarikaya, Kel. Kadolo, Kec. Kokalukuna, Kota Baubau</v>
      </c>
      <c r="R1180" s="7" t="str">
        <f>IFERROR(__xludf.DUMMYFUNCTION("""COMPUTED_VALUE"""),"K")</f>
        <v>K</v>
      </c>
    </row>
    <row r="1181" ht="22.5" customHeight="1">
      <c r="A1181" s="6">
        <v>1180.0</v>
      </c>
      <c r="B1181" s="6" t="str">
        <f>IFERROR(__xludf.DUMMYFUNCTION("""COMPUTED_VALUE"""),"Pengelolaan Administrasi Perkantoraan")</f>
        <v>Pengelolaan Administrasi Perkantoraan</v>
      </c>
      <c r="F1181" s="6" t="str">
        <f>IFERROR(__xludf.DUMMYFUNCTION("""COMPUTED_VALUE"""),"Muhammad Ferdin")</f>
        <v>Muhammad Ferdin</v>
      </c>
      <c r="G1181" s="6" t="str">
        <f>IFERROR(__xludf.DUMMYFUNCTION("""COMPUTED_VALUE"""),"7404180504020001")</f>
        <v>7404180504020001</v>
      </c>
      <c r="J1181" s="7" t="str">
        <f>IFERROR(__xludf.DUMMYFUNCTION("""COMPUTED_VALUE"""),"LAKI-LAKI")</f>
        <v>LAKI-LAKI</v>
      </c>
      <c r="K1181" s="6" t="str">
        <f>IFERROR(__xludf.DUMMYFUNCTION("""COMPUTED_VALUE"""),"Jln. Laelangi No. 7 Kel. Lanto Kec. Batupoaro")</f>
        <v>Jln. Laelangi No. 7 Kel. Lanto Kec. Batupoaro</v>
      </c>
      <c r="R1181" s="7" t="str">
        <f>IFERROR(__xludf.DUMMYFUNCTION("""COMPUTED_VALUE"""),"K")</f>
        <v>K</v>
      </c>
    </row>
    <row r="1182" ht="22.5" customHeight="1">
      <c r="A1182" s="6">
        <v>1181.0</v>
      </c>
      <c r="B1182" s="6" t="str">
        <f>IFERROR(__xludf.DUMMYFUNCTION("""COMPUTED_VALUE"""),"Pengelolaan Administrasi Perkantoraan")</f>
        <v>Pengelolaan Administrasi Perkantoraan</v>
      </c>
      <c r="F1182" s="6" t="str">
        <f>IFERROR(__xludf.DUMMYFUNCTION("""COMPUTED_VALUE"""),"Hardiansyah")</f>
        <v>Hardiansyah</v>
      </c>
      <c r="G1182" s="6" t="str">
        <f>IFERROR(__xludf.DUMMYFUNCTION("""COMPUTED_VALUE"""),"7404091610030001")</f>
        <v>7404091610030001</v>
      </c>
      <c r="J1182" s="7" t="str">
        <f>IFERROR(__xludf.DUMMYFUNCTION("""COMPUTED_VALUE"""),"LAKI-LAKI")</f>
        <v>LAKI-LAKI</v>
      </c>
      <c r="K1182" s="6" t="str">
        <f>IFERROR(__xludf.DUMMYFUNCTION("""COMPUTED_VALUE"""),"Jln. Gajah Mada kel. Lakambau kec. Batauga. ")</f>
        <v>Jln. Gajah Mada kel. Lakambau kec. Batauga. </v>
      </c>
      <c r="R1182" s="7" t="str">
        <f>IFERROR(__xludf.DUMMYFUNCTION("""COMPUTED_VALUE"""),"K")</f>
        <v>K</v>
      </c>
    </row>
    <row r="1183" ht="22.5" customHeight="1">
      <c r="A1183" s="6">
        <v>1182.0</v>
      </c>
      <c r="B1183" s="6" t="str">
        <f>IFERROR(__xludf.DUMMYFUNCTION("""COMPUTED_VALUE"""),"Pengelolaan Administrasi Perkantoraan")</f>
        <v>Pengelolaan Administrasi Perkantoraan</v>
      </c>
      <c r="F1183" s="6" t="str">
        <f>IFERROR(__xludf.DUMMYFUNCTION("""COMPUTED_VALUE"""),"Chintia Berliana Rizky")</f>
        <v>Chintia Berliana Rizky</v>
      </c>
      <c r="G1183" s="6" t="str">
        <f>IFERROR(__xludf.DUMMYFUNCTION("""COMPUTED_VALUE"""),"7472056606030001")</f>
        <v>7472056606030001</v>
      </c>
      <c r="J1183" s="7" t="str">
        <f>IFERROR(__xludf.DUMMYFUNCTION("""COMPUTED_VALUE"""),"PEREMPUAN")</f>
        <v>PEREMPUAN</v>
      </c>
      <c r="K1183" s="6" t="str">
        <f>IFERROR(__xludf.DUMMYFUNCTION("""COMPUTED_VALUE"""),"Jl. Anoa No 56. C")</f>
        <v>Jl. Anoa No 56. C</v>
      </c>
      <c r="R1183" s="7" t="str">
        <f>IFERROR(__xludf.DUMMYFUNCTION("""COMPUTED_VALUE"""),"K")</f>
        <v>K</v>
      </c>
    </row>
    <row r="1184" ht="22.5" customHeight="1">
      <c r="A1184" s="6">
        <v>1183.0</v>
      </c>
      <c r="B1184" s="6" t="str">
        <f>IFERROR(__xludf.DUMMYFUNCTION("""COMPUTED_VALUE"""),"Pengelolaan Administrasi Perkantoraan")</f>
        <v>Pengelolaan Administrasi Perkantoraan</v>
      </c>
      <c r="F1184" s="6" t="str">
        <f>IFERROR(__xludf.DUMMYFUNCTION("""COMPUTED_VALUE"""),"Ismawati")</f>
        <v>Ismawati</v>
      </c>
      <c r="G1184" s="6" t="str">
        <f>IFERROR(__xludf.DUMMYFUNCTION("""COMPUTED_VALUE"""),"7406044809030001")</f>
        <v>7406044809030001</v>
      </c>
      <c r="J1184" s="7" t="str">
        <f>IFERROR(__xludf.DUMMYFUNCTION("""COMPUTED_VALUE"""),"PEREMPUAN")</f>
        <v>PEREMPUAN</v>
      </c>
      <c r="K1184" s="6" t="str">
        <f>IFERROR(__xludf.DUMMYFUNCTION("""COMPUTED_VALUE"""),"Lampopala")</f>
        <v>Lampopala</v>
      </c>
      <c r="R1184" s="7" t="str">
        <f>IFERROR(__xludf.DUMMYFUNCTION("""COMPUTED_VALUE"""),"K")</f>
        <v>K</v>
      </c>
    </row>
    <row r="1185" ht="22.5" customHeight="1">
      <c r="A1185" s="6">
        <v>1184.0</v>
      </c>
      <c r="B1185" s="6" t="str">
        <f>IFERROR(__xludf.DUMMYFUNCTION("""COMPUTED_VALUE"""),"Pengelolaan Administrasi Perkantoraan")</f>
        <v>Pengelolaan Administrasi Perkantoraan</v>
      </c>
      <c r="F1185" s="6" t="str">
        <f>IFERROR(__xludf.DUMMYFUNCTION("""COMPUTED_VALUE"""),"Juita Febriani")</f>
        <v>Juita Febriani</v>
      </c>
      <c r="G1185" s="6" t="str">
        <f>IFERROR(__xludf.DUMMYFUNCTION("""COMPUTED_VALUE"""),"7403076802040201")</f>
        <v>7403076802040201</v>
      </c>
      <c r="J1185" s="7" t="str">
        <f>IFERROR(__xludf.DUMMYFUNCTION("""COMPUTED_VALUE"""),"PEREMPUAN")</f>
        <v>PEREMPUAN</v>
      </c>
      <c r="K1185" s="6" t="str">
        <f>IFERROR(__xludf.DUMMYFUNCTION("""COMPUTED_VALUE"""),"Jln Poros Maligano - Ronta")</f>
        <v>Jln Poros Maligano - Ronta</v>
      </c>
      <c r="R1185" s="7" t="str">
        <f>IFERROR(__xludf.DUMMYFUNCTION("""COMPUTED_VALUE"""),"K")</f>
        <v>K</v>
      </c>
    </row>
    <row r="1186" ht="22.5" customHeight="1">
      <c r="A1186" s="6">
        <v>1185.0</v>
      </c>
      <c r="B1186" s="6" t="str">
        <f>IFERROR(__xludf.DUMMYFUNCTION("""COMPUTED_VALUE"""),"Pengelolaan Administrasi Perkantoraan")</f>
        <v>Pengelolaan Administrasi Perkantoraan</v>
      </c>
      <c r="F1186" s="6" t="str">
        <f>IFERROR(__xludf.DUMMYFUNCTION("""COMPUTED_VALUE"""),"ASRIANTI")</f>
        <v>ASRIANTI</v>
      </c>
      <c r="G1186" s="6" t="str">
        <f>IFERROR(__xludf.DUMMYFUNCTION("""COMPUTED_VALUE"""),"7403237012030001")</f>
        <v>7403237012030001</v>
      </c>
      <c r="J1186" s="7" t="str">
        <f>IFERROR(__xludf.DUMMYFUNCTION("""COMPUTED_VALUE"""),"PEREMPUAN")</f>
        <v>PEREMPUAN</v>
      </c>
      <c r="K1186" s="6" t="str">
        <f>IFERROR(__xludf.DUMMYFUNCTION("""COMPUTED_VALUE"""),"Kel.Poea,Kec.Rumbia Tengah,Kab.Bombana ,Sulawesi Tenggara")</f>
        <v>Kel.Poea,Kec.Rumbia Tengah,Kab.Bombana ,Sulawesi Tenggara</v>
      </c>
      <c r="R1186" s="7" t="str">
        <f>IFERROR(__xludf.DUMMYFUNCTION("""COMPUTED_VALUE"""),"K")</f>
        <v>K</v>
      </c>
    </row>
    <row r="1187" ht="22.5" customHeight="1">
      <c r="A1187" s="6">
        <v>1186.0</v>
      </c>
      <c r="B1187" s="6" t="str">
        <f>IFERROR(__xludf.DUMMYFUNCTION("""COMPUTED_VALUE"""),"Pengelolaan Administrasi Perkantoraan")</f>
        <v>Pengelolaan Administrasi Perkantoraan</v>
      </c>
      <c r="F1187" s="6" t="str">
        <f>IFERROR(__xludf.DUMMYFUNCTION("""COMPUTED_VALUE"""),"Sitti Nur Fadillah Jasir")</f>
        <v>Sitti Nur Fadillah Jasir</v>
      </c>
      <c r="G1187" s="6" t="str">
        <f>IFERROR(__xludf.DUMMYFUNCTION("""COMPUTED_VALUE"""),"7472054709010001")</f>
        <v>7472054709010001</v>
      </c>
      <c r="J1187" s="7" t="str">
        <f>IFERROR(__xludf.DUMMYFUNCTION("""COMPUTED_VALUE"""),"PEREMPUAN")</f>
        <v>PEREMPUAN</v>
      </c>
      <c r="K1187" s="6" t="str">
        <f>IFERROR(__xludf.DUMMYFUNCTION("""COMPUTED_VALUE"""),"Jln Anggrek No 294, RT 003, RW 001, Kel Waruruma, Kec Kokalukuna, Kota Baubau")</f>
        <v>Jln Anggrek No 294, RT 003, RW 001, Kel Waruruma, Kec Kokalukuna, Kota Baubau</v>
      </c>
      <c r="R1187" s="7" t="str">
        <f>IFERROR(__xludf.DUMMYFUNCTION("""COMPUTED_VALUE"""),"K")</f>
        <v>K</v>
      </c>
    </row>
    <row r="1188" ht="22.5" customHeight="1">
      <c r="A1188" s="6">
        <v>1187.0</v>
      </c>
      <c r="B1188" s="6" t="str">
        <f>IFERROR(__xludf.DUMMYFUNCTION("""COMPUTED_VALUE"""),"Pengelolaan Administrasi Perkantoraan")</f>
        <v>Pengelolaan Administrasi Perkantoraan</v>
      </c>
      <c r="F1188" s="6" t="str">
        <f>IFERROR(__xludf.DUMMYFUNCTION("""COMPUTED_VALUE"""),"MARLINA")</f>
        <v>MARLINA</v>
      </c>
      <c r="G1188" s="6" t="str">
        <f>IFERROR(__xludf.DUMMYFUNCTION("""COMPUTED_VALUE"""),"7403036406030001")</f>
        <v>7403036406030001</v>
      </c>
      <c r="J1188" s="7" t="str">
        <f>IFERROR(__xludf.DUMMYFUNCTION("""COMPUTED_VALUE"""),"PEREMPUAN")</f>
        <v>PEREMPUAN</v>
      </c>
      <c r="K1188" s="6" t="str">
        <f>IFERROR(__xludf.DUMMYFUNCTION("""COMPUTED_VALUE"""),"Desa wandoke kec. Tikep kab. muna barat")</f>
        <v>Desa wandoke kec. Tikep kab. muna barat</v>
      </c>
      <c r="R1188" s="7" t="str">
        <f>IFERROR(__xludf.DUMMYFUNCTION("""COMPUTED_VALUE"""),"K")</f>
        <v>K</v>
      </c>
    </row>
    <row r="1189" ht="22.5" customHeight="1">
      <c r="A1189" s="6">
        <v>1188.0</v>
      </c>
      <c r="B1189" s="6" t="str">
        <f>IFERROR(__xludf.DUMMYFUNCTION("""COMPUTED_VALUE"""),"Asisten Pengembangan Web (Assistant Web Developer)")</f>
        <v>Asisten Pengembangan Web (Assistant Web Developer)</v>
      </c>
      <c r="F1189" s="6" t="str">
        <f>IFERROR(__xludf.DUMMYFUNCTION("""COMPUTED_VALUE"""),"Adam Alrajab")</f>
        <v>Adam Alrajab</v>
      </c>
      <c r="G1189" s="6" t="str">
        <f>IFERROR(__xludf.DUMMYFUNCTION("""COMPUTED_VALUE"""),"7403062309020001")</f>
        <v>7403062309020001</v>
      </c>
      <c r="J1189" s="7" t="str">
        <f>IFERROR(__xludf.DUMMYFUNCTION("""COMPUTED_VALUE"""),"LAKI-LAKI")</f>
        <v>LAKI-LAKI</v>
      </c>
      <c r="K1189" s="6" t="str">
        <f>IFERROR(__xludf.DUMMYFUNCTION("""COMPUTED_VALUE"""),"Jalan Kancil, Andounuhu")</f>
        <v>Jalan Kancil, Andounuhu</v>
      </c>
      <c r="R1189" s="7" t="str">
        <f>IFERROR(__xludf.DUMMYFUNCTION("""COMPUTED_VALUE"""),"BK")</f>
        <v>BK</v>
      </c>
    </row>
    <row r="1190" ht="22.5" customHeight="1">
      <c r="A1190" s="6">
        <v>1189.0</v>
      </c>
      <c r="B1190" s="6" t="str">
        <f>IFERROR(__xludf.DUMMYFUNCTION("""COMPUTED_VALUE"""),"Asisten Pengembangan Web (Assistant Web Developer)")</f>
        <v>Asisten Pengembangan Web (Assistant Web Developer)</v>
      </c>
      <c r="F1190" s="6" t="str">
        <f>IFERROR(__xludf.DUMMYFUNCTION("""COMPUTED_VALUE"""),"Duwi Nurmayanti")</f>
        <v>Duwi Nurmayanti</v>
      </c>
      <c r="G1190" s="6" t="str">
        <f>IFERROR(__xludf.DUMMYFUNCTION("""COMPUTED_VALUE"""),"7401264611030001")</f>
        <v>7401264611030001</v>
      </c>
      <c r="J1190" s="7" t="str">
        <f>IFERROR(__xludf.DUMMYFUNCTION("""COMPUTED_VALUE"""),"PEREMPUAN")</f>
        <v>PEREMPUAN</v>
      </c>
      <c r="K1190" s="6" t="str">
        <f>IFERROR(__xludf.DUMMYFUNCTION("""COMPUTED_VALUE"""),"Jl.H.Abd Silondae, Desa Lamore, Kec Loea")</f>
        <v>Jl.H.Abd Silondae, Desa Lamore, Kec Loea</v>
      </c>
      <c r="R1190" s="7" t="str">
        <f>IFERROR(__xludf.DUMMYFUNCTION("""COMPUTED_VALUE"""),"K")</f>
        <v>K</v>
      </c>
    </row>
    <row r="1191" ht="22.5" customHeight="1">
      <c r="A1191" s="6">
        <v>1190.0</v>
      </c>
      <c r="B1191" s="6" t="str">
        <f>IFERROR(__xludf.DUMMYFUNCTION("""COMPUTED_VALUE"""),"Asisten Pengembangan Web (Assistant Web Developer)")</f>
        <v>Asisten Pengembangan Web (Assistant Web Developer)</v>
      </c>
      <c r="F1191" s="6" t="str">
        <f>IFERROR(__xludf.DUMMYFUNCTION("""COMPUTED_VALUE"""),"Zahra Maharani Aulia ")</f>
        <v>Zahra Maharani Aulia </v>
      </c>
      <c r="G1191" s="6" t="str">
        <f>IFERROR(__xludf.DUMMYFUNCTION("""COMPUTED_VALUE"""),"7405086108030002")</f>
        <v>7405086108030002</v>
      </c>
      <c r="J1191" s="7" t="str">
        <f>IFERROR(__xludf.DUMMYFUNCTION("""COMPUTED_VALUE"""),"PEREMPUAN")</f>
        <v>PEREMPUAN</v>
      </c>
      <c r="K1191" s="6" t="str">
        <f>IFERROR(__xludf.DUMMYFUNCTION("""COMPUTED_VALUE"""),"BTN GRANDCITY GERSAMATA A No.1")</f>
        <v>BTN GRANDCITY GERSAMATA A No.1</v>
      </c>
      <c r="R1191" s="7" t="str">
        <f>IFERROR(__xludf.DUMMYFUNCTION("""COMPUTED_VALUE"""),"K")</f>
        <v>K</v>
      </c>
    </row>
    <row r="1192" ht="22.5" customHeight="1">
      <c r="A1192" s="6">
        <v>1191.0</v>
      </c>
      <c r="B1192" s="6" t="str">
        <f>IFERROR(__xludf.DUMMYFUNCTION("""COMPUTED_VALUE"""),"Asisten Pengembangan Web (Assistant Web Developer)")</f>
        <v>Asisten Pengembangan Web (Assistant Web Developer)</v>
      </c>
      <c r="F1192" s="6" t="str">
        <f>IFERROR(__xludf.DUMMYFUNCTION("""COMPUTED_VALUE"""),"MUH SALEH BADAWI")</f>
        <v>MUH SALEH BADAWI</v>
      </c>
      <c r="G1192" s="6" t="str">
        <f>IFERROR(__xludf.DUMMYFUNCTION("""COMPUTED_VALUE"""),"7471092805030001")</f>
        <v>7471092805030001</v>
      </c>
      <c r="J1192" s="7" t="str">
        <f>IFERROR(__xludf.DUMMYFUNCTION("""COMPUTED_VALUE"""),"LAKI-LAKI")</f>
        <v>LAKI-LAKI</v>
      </c>
      <c r="K1192" s="6" t="str">
        <f>IFERROR(__xludf.DUMMYFUNCTION("""COMPUTED_VALUE"""),"JL. LALONGGIDA")</f>
        <v>JL. LALONGGIDA</v>
      </c>
      <c r="R1192" s="7" t="str">
        <f>IFERROR(__xludf.DUMMYFUNCTION("""COMPUTED_VALUE"""),"K")</f>
        <v>K</v>
      </c>
    </row>
    <row r="1193" ht="22.5" customHeight="1">
      <c r="A1193" s="6">
        <v>1192.0</v>
      </c>
      <c r="B1193" s="6" t="str">
        <f>IFERROR(__xludf.DUMMYFUNCTION("""COMPUTED_VALUE"""),"Asisten Pengembangan Web (Assistant Web Developer)")</f>
        <v>Asisten Pengembangan Web (Assistant Web Developer)</v>
      </c>
      <c r="F1193" s="6" t="str">
        <f>IFERROR(__xludf.DUMMYFUNCTION("""COMPUTED_VALUE"""),"Dwi Hikmah Ramadhani ")</f>
        <v>Dwi Hikmah Ramadhani </v>
      </c>
      <c r="G1193" s="6" t="str">
        <f>IFERROR(__xludf.DUMMYFUNCTION("""COMPUTED_VALUE"""),"7402194312020004")</f>
        <v>7402194312020004</v>
      </c>
      <c r="J1193" s="7" t="str">
        <f>IFERROR(__xludf.DUMMYFUNCTION("""COMPUTED_VALUE"""),"PEREMPUAN")</f>
        <v>PEREMPUAN</v>
      </c>
      <c r="K1193" s="6" t="str">
        <f>IFERROR(__xludf.DUMMYFUNCTION("""COMPUTED_VALUE"""),"BTN Bukit Lepo-Lepo Indah")</f>
        <v>BTN Bukit Lepo-Lepo Indah</v>
      </c>
      <c r="R1193" s="7" t="str">
        <f>IFERROR(__xludf.DUMMYFUNCTION("""COMPUTED_VALUE"""),"K")</f>
        <v>K</v>
      </c>
    </row>
    <row r="1194" ht="22.5" customHeight="1">
      <c r="A1194" s="6">
        <v>1193.0</v>
      </c>
      <c r="B1194" s="6" t="str">
        <f>IFERROR(__xludf.DUMMYFUNCTION("""COMPUTED_VALUE"""),"Asisten Pengembangan Web (Assistant Web Developer)")</f>
        <v>Asisten Pengembangan Web (Assistant Web Developer)</v>
      </c>
      <c r="F1194" s="6" t="str">
        <f>IFERROR(__xludf.DUMMYFUNCTION("""COMPUTED_VALUE"""),"Ilyas")</f>
        <v>Ilyas</v>
      </c>
      <c r="G1194" s="6" t="str">
        <f>IFERROR(__xludf.DUMMYFUNCTION("""COMPUTED_VALUE"""),"7472062801030002")</f>
        <v>7472062801030002</v>
      </c>
      <c r="J1194" s="7" t="str">
        <f>IFERROR(__xludf.DUMMYFUNCTION("""COMPUTED_VALUE"""),"LAKI-LAKI")</f>
        <v>LAKI-LAKI</v>
      </c>
      <c r="K1194" s="6" t="str">
        <f>IFERROR(__xludf.DUMMYFUNCTION("""COMPUTED_VALUE"""),"Jl. Gajah Mada (Lingkungan Lamangga) RT 01 / RW 01 Kel. Lamangga Kec. Murhum")</f>
        <v>Jl. Gajah Mada (Lingkungan Lamangga) RT 01 / RW 01 Kel. Lamangga Kec. Murhum</v>
      </c>
      <c r="R1194" s="7" t="str">
        <f>IFERROR(__xludf.DUMMYFUNCTION("""COMPUTED_VALUE"""),"K")</f>
        <v>K</v>
      </c>
    </row>
    <row r="1195" ht="22.5" customHeight="1">
      <c r="A1195" s="6">
        <v>1194.0</v>
      </c>
      <c r="B1195" s="6" t="str">
        <f>IFERROR(__xludf.DUMMYFUNCTION("""COMPUTED_VALUE"""),"Asisten Pengembangan Web (Assistant Web Developer)")</f>
        <v>Asisten Pengembangan Web (Assistant Web Developer)</v>
      </c>
      <c r="F1195" s="6" t="str">
        <f>IFERROR(__xludf.DUMMYFUNCTION("""COMPUTED_VALUE"""),"Annisa Az'zahra Tarimana")</f>
        <v>Annisa Az'zahra Tarimana</v>
      </c>
      <c r="G1195" s="6" t="str">
        <f>IFERROR(__xludf.DUMMYFUNCTION("""COMPUTED_VALUE"""),"7471104406030003")</f>
        <v>7471104406030003</v>
      </c>
      <c r="J1195" s="7" t="str">
        <f>IFERROR(__xludf.DUMMYFUNCTION("""COMPUTED_VALUE"""),"PEREMPUAN")</f>
        <v>PEREMPUAN</v>
      </c>
      <c r="K1195" s="6" t="str">
        <f>IFERROR(__xludf.DUMMYFUNCTION("""COMPUTED_VALUE"""),"BTN UNHALU BLOK T 9")</f>
        <v>BTN UNHALU BLOK T 9</v>
      </c>
      <c r="R1195" s="7" t="str">
        <f>IFERROR(__xludf.DUMMYFUNCTION("""COMPUTED_VALUE"""),"K")</f>
        <v>K</v>
      </c>
    </row>
    <row r="1196" ht="22.5" customHeight="1">
      <c r="A1196" s="6">
        <v>1195.0</v>
      </c>
      <c r="B1196" s="6" t="str">
        <f>IFERROR(__xludf.DUMMYFUNCTION("""COMPUTED_VALUE"""),"Supervisor Sumber Daya Manusia")</f>
        <v>Supervisor Sumber Daya Manusia</v>
      </c>
      <c r="F1196" s="6" t="str">
        <f>IFERROR(__xludf.DUMMYFUNCTION("""COMPUTED_VALUE"""),"Silviana Fitriyani")</f>
        <v>Silviana Fitriyani</v>
      </c>
      <c r="G1196" s="6" t="str">
        <f>IFERROR(__xludf.DUMMYFUNCTION("""COMPUTED_VALUE"""),"7401075706030001")</f>
        <v>7401075706030001</v>
      </c>
      <c r="J1196" s="7" t="str">
        <f>IFERROR(__xludf.DUMMYFUNCTION("""COMPUTED_VALUE"""),"PEREMPUAN")</f>
        <v>PEREMPUAN</v>
      </c>
      <c r="K1196" s="6" t="str">
        <f>IFERROR(__xludf.DUMMYFUNCTION("""COMPUTED_VALUE"""),"jl.persawahan desa huko-huko kec.pomalaa kab.kolaka")</f>
        <v>jl.persawahan desa huko-huko kec.pomalaa kab.kolaka</v>
      </c>
      <c r="R1196" s="7" t="str">
        <f>IFERROR(__xludf.DUMMYFUNCTION("""COMPUTED_VALUE"""),"K")</f>
        <v>K</v>
      </c>
    </row>
    <row r="1197" ht="22.5" customHeight="1">
      <c r="A1197" s="6">
        <v>1196.0</v>
      </c>
      <c r="B1197" s="6" t="str">
        <f>IFERROR(__xludf.DUMMYFUNCTION("""COMPUTED_VALUE"""),"Supervisor Sumber Daya Manusia")</f>
        <v>Supervisor Sumber Daya Manusia</v>
      </c>
      <c r="F1197" s="6" t="str">
        <f>IFERROR(__xludf.DUMMYFUNCTION("""COMPUTED_VALUE"""),"La Ode Muhamad Rolan")</f>
        <v>La Ode Muhamad Rolan</v>
      </c>
      <c r="G1197" s="6" t="str">
        <f>IFERROR(__xludf.DUMMYFUNCTION("""COMPUTED_VALUE"""),"7403052510020201")</f>
        <v>7403052510020201</v>
      </c>
      <c r="J1197" s="7" t="str">
        <f>IFERROR(__xludf.DUMMYFUNCTION("""COMPUTED_VALUE"""),"LAKI-LAKI")</f>
        <v>LAKI-LAKI</v>
      </c>
      <c r="K1197" s="6" t="str">
        <f>IFERROR(__xludf.DUMMYFUNCTION("""COMPUTED_VALUE"""),"Jln. Ade Irma Nasution, Baruga")</f>
        <v>Jln. Ade Irma Nasution, Baruga</v>
      </c>
      <c r="R1197" s="7" t="str">
        <f>IFERROR(__xludf.DUMMYFUNCTION("""COMPUTED_VALUE"""),"K")</f>
        <v>K</v>
      </c>
    </row>
    <row r="1198" ht="22.5" customHeight="1">
      <c r="A1198" s="6">
        <v>1197.0</v>
      </c>
      <c r="B1198" s="6" t="str">
        <f>IFERROR(__xludf.DUMMYFUNCTION("""COMPUTED_VALUE"""),"Supervisor Sumber Daya Manusia")</f>
        <v>Supervisor Sumber Daya Manusia</v>
      </c>
      <c r="F1198" s="6" t="str">
        <f>IFERROR(__xludf.DUMMYFUNCTION("""COMPUTED_VALUE"""),"FERDIAN DWI NUGRAHA")</f>
        <v>FERDIAN DWI NUGRAHA</v>
      </c>
      <c r="G1198" s="6" t="str">
        <f>IFERROR(__xludf.DUMMYFUNCTION("""COMPUTED_VALUE"""),"7405091001040001")</f>
        <v>7405091001040001</v>
      </c>
      <c r="J1198" s="7" t="str">
        <f>IFERROR(__xludf.DUMMYFUNCTION("""COMPUTED_VALUE"""),"LAKI-LAKI")</f>
        <v>LAKI-LAKI</v>
      </c>
      <c r="K1198" s="6" t="str">
        <f>IFERROR(__xludf.DUMMYFUNCTION("""COMPUTED_VALUE"""),"BTN Pesona Alam Tahap 2 Blok E No. 2, Anduonohu, Kota Kendari ")</f>
        <v>BTN Pesona Alam Tahap 2 Blok E No. 2, Anduonohu, Kota Kendari </v>
      </c>
      <c r="R1198" s="7" t="str">
        <f>IFERROR(__xludf.DUMMYFUNCTION("""COMPUTED_VALUE"""),"K")</f>
        <v>K</v>
      </c>
    </row>
    <row r="1199" ht="22.5" customHeight="1">
      <c r="A1199" s="6">
        <v>1198.0</v>
      </c>
      <c r="B1199" s="6" t="str">
        <f>IFERROR(__xludf.DUMMYFUNCTION("""COMPUTED_VALUE"""),"Supervisor Sumber Daya Manusia")</f>
        <v>Supervisor Sumber Daya Manusia</v>
      </c>
      <c r="F1199" s="6" t="str">
        <f>IFERROR(__xludf.DUMMYFUNCTION("""COMPUTED_VALUE"""),"MOHAMAD RAIHAN")</f>
        <v>MOHAMAD RAIHAN</v>
      </c>
      <c r="G1199" s="6" t="str">
        <f>IFERROR(__xludf.DUMMYFUNCTION("""COMPUTED_VALUE"""),"7203083010020008")</f>
        <v>7203083010020008</v>
      </c>
      <c r="J1199" s="7" t="str">
        <f>IFERROR(__xludf.DUMMYFUNCTION("""COMPUTED_VALUE"""),"LAKI-LAKI")</f>
        <v>LAKI-LAKI</v>
      </c>
      <c r="K1199" s="6" t="str">
        <f>IFERROR(__xludf.DUMMYFUNCTION("""COMPUTED_VALUE"""),"Loli Dondo,Banawa,kab.Donggala,Sulawesi Tengah,indonesia")</f>
        <v>Loli Dondo,Banawa,kab.Donggala,Sulawesi Tengah,indonesia</v>
      </c>
      <c r="R1199" s="7" t="str">
        <f>IFERROR(__xludf.DUMMYFUNCTION("""COMPUTED_VALUE"""),"K")</f>
        <v>K</v>
      </c>
    </row>
    <row r="1200" ht="22.5" customHeight="1">
      <c r="A1200" s="6">
        <v>1199.0</v>
      </c>
      <c r="B1200" s="6" t="str">
        <f>IFERROR(__xludf.DUMMYFUNCTION("""COMPUTED_VALUE"""),"Supervisor Sumber Daya Manusia")</f>
        <v>Supervisor Sumber Daya Manusia</v>
      </c>
      <c r="F1200" s="6" t="str">
        <f>IFERROR(__xludf.DUMMYFUNCTION("""COMPUTED_VALUE"""),"Muhammad Zulfajri")</f>
        <v>Muhammad Zulfajri</v>
      </c>
      <c r="G1200" s="6" t="str">
        <f>IFERROR(__xludf.DUMMYFUNCTION("""COMPUTED_VALUE"""),"7206031806000001")</f>
        <v>7206031806000001</v>
      </c>
      <c r="J1200" s="7" t="str">
        <f>IFERROR(__xludf.DUMMYFUNCTION("""COMPUTED_VALUE"""),"LAKI-LAKI")</f>
        <v>LAKI-LAKI</v>
      </c>
      <c r="K1200" s="6" t="str">
        <f>IFERROR(__xludf.DUMMYFUNCTION("""COMPUTED_VALUE"""),"Kolonodale, Petasia")</f>
        <v>Kolonodale, Petasia</v>
      </c>
      <c r="R1200" s="7" t="str">
        <f>IFERROR(__xludf.DUMMYFUNCTION("""COMPUTED_VALUE"""),"K")</f>
        <v>K</v>
      </c>
    </row>
    <row r="1201" ht="22.5" customHeight="1">
      <c r="A1201" s="6">
        <v>1200.0</v>
      </c>
      <c r="B1201" s="6" t="str">
        <f>IFERROR(__xludf.DUMMYFUNCTION("""COMPUTED_VALUE"""),"Petugas Keselematan dan Kesehatan Kerja")</f>
        <v>Petugas Keselematan dan Kesehatan Kerja</v>
      </c>
      <c r="F1201" s="6" t="str">
        <f>IFERROR(__xludf.DUMMYFUNCTION("""COMPUTED_VALUE"""),"Marwati")</f>
        <v>Marwati</v>
      </c>
      <c r="G1201" s="6" t="str">
        <f>IFERROR(__xludf.DUMMYFUNCTION("""COMPUTED_VALUE"""),"7404076104030001")</f>
        <v>7404076104030001</v>
      </c>
      <c r="J1201" s="7" t="str">
        <f>IFERROR(__xludf.DUMMYFUNCTION("""COMPUTED_VALUE"""),"PEREMPUAN")</f>
        <v>PEREMPUAN</v>
      </c>
      <c r="K1201" s="6" t="str">
        <f>IFERROR(__xludf.DUMMYFUNCTION("""COMPUTED_VALUE"""),"Desa Nepa Mekar, Kec. Lakudo, Kab. Buton Tengah")</f>
        <v>Desa Nepa Mekar, Kec. Lakudo, Kab. Buton Tengah</v>
      </c>
      <c r="R1201" s="7" t="str">
        <f>IFERROR(__xludf.DUMMYFUNCTION("""COMPUTED_VALUE"""),"BK")</f>
        <v>BK</v>
      </c>
    </row>
    <row r="1202" ht="22.5" customHeight="1">
      <c r="A1202" s="6">
        <v>1201.0</v>
      </c>
      <c r="B1202" s="6" t="str">
        <f>IFERROR(__xludf.DUMMYFUNCTION("""COMPUTED_VALUE"""),"Petugas Keselematan dan Kesehatan Kerja")</f>
        <v>Petugas Keselematan dan Kesehatan Kerja</v>
      </c>
      <c r="F1202" s="6" t="str">
        <f>IFERROR(__xludf.DUMMYFUNCTION("""COMPUTED_VALUE"""),"DERIS")</f>
        <v>DERIS</v>
      </c>
      <c r="G1202" s="6" t="str">
        <f>IFERROR(__xludf.DUMMYFUNCTION("""COMPUTED_VALUE"""),"7404101407020004")</f>
        <v>7404101407020004</v>
      </c>
      <c r="J1202" s="7" t="str">
        <f>IFERROR(__xludf.DUMMYFUNCTION("""COMPUTED_VALUE"""),"LAKI-LAKI")</f>
        <v>LAKI-LAKI</v>
      </c>
      <c r="K1202" s="6" t="str">
        <f>IFERROR(__xludf.DUMMYFUNCTION("""COMPUTED_VALUE"""),"WINDU MAKMUR")</f>
        <v>WINDU MAKMUR</v>
      </c>
      <c r="R1202" s="7" t="str">
        <f>IFERROR(__xludf.DUMMYFUNCTION("""COMPUTED_VALUE"""),"K")</f>
        <v>K</v>
      </c>
    </row>
    <row r="1203" ht="22.5" customHeight="1">
      <c r="A1203" s="6">
        <v>1202.0</v>
      </c>
      <c r="B1203" s="6" t="str">
        <f>IFERROR(__xludf.DUMMYFUNCTION("""COMPUTED_VALUE"""),"Petugas Keselematan dan Kesehatan Kerja")</f>
        <v>Petugas Keselematan dan Kesehatan Kerja</v>
      </c>
      <c r="F1203" s="6" t="str">
        <f>IFERROR(__xludf.DUMMYFUNCTION("""COMPUTED_VALUE"""),"Wa Ode Saleha")</f>
        <v>Wa Ode Saleha</v>
      </c>
      <c r="G1203" s="6" t="str">
        <f>IFERROR(__xludf.DUMMYFUNCTION("""COMPUTED_VALUE"""),"7472065207030001")</f>
        <v>7472065207030001</v>
      </c>
      <c r="J1203" s="7" t="str">
        <f>IFERROR(__xludf.DUMMYFUNCTION("""COMPUTED_VALUE"""),"PEREMPUAN")</f>
        <v>PEREMPUAN</v>
      </c>
      <c r="K1203" s="6" t="str">
        <f>IFERROR(__xludf.DUMMYFUNCTION("""COMPUTED_VALUE"""),"Jl. Betoambari")</f>
        <v>Jl. Betoambari</v>
      </c>
      <c r="R1203" s="7" t="str">
        <f>IFERROR(__xludf.DUMMYFUNCTION("""COMPUTED_VALUE"""),"K")</f>
        <v>K</v>
      </c>
    </row>
    <row r="1204" ht="22.5" customHeight="1">
      <c r="A1204" s="6">
        <v>1203.0</v>
      </c>
      <c r="B1204" s="6" t="str">
        <f>IFERROR(__xludf.DUMMYFUNCTION("""COMPUTED_VALUE"""),"Petugas Keselematan dan Kesehatan Kerja")</f>
        <v>Petugas Keselematan dan Kesehatan Kerja</v>
      </c>
      <c r="F1204" s="6" t="str">
        <f>IFERROR(__xludf.DUMMYFUNCTION("""COMPUTED_VALUE"""),"Ade Irma ")</f>
        <v>Ade Irma </v>
      </c>
      <c r="G1204" s="6" t="str">
        <f>IFERROR(__xludf.DUMMYFUNCTION("""COMPUTED_VALUE"""),"7403096105010201")</f>
        <v>7403096105010201</v>
      </c>
      <c r="J1204" s="7" t="str">
        <f>IFERROR(__xludf.DUMMYFUNCTION("""COMPUTED_VALUE"""),"PEREMPUAN")</f>
        <v>PEREMPUAN</v>
      </c>
      <c r="K1204" s="6" t="str">
        <f>IFERROR(__xludf.DUMMYFUNCTION("""COMPUTED_VALUE"""),"Desa parida, kec. Lasalepa, kab Muna")</f>
        <v>Desa parida, kec. Lasalepa, kab Muna</v>
      </c>
      <c r="R1204" s="7" t="str">
        <f>IFERROR(__xludf.DUMMYFUNCTION("""COMPUTED_VALUE"""),"K")</f>
        <v>K</v>
      </c>
    </row>
    <row r="1205" ht="22.5" customHeight="1">
      <c r="A1205" s="6">
        <v>1204.0</v>
      </c>
      <c r="B1205" s="6" t="str">
        <f>IFERROR(__xludf.DUMMYFUNCTION("""COMPUTED_VALUE"""),"Petugas Keselematan dan Kesehatan Kerja")</f>
        <v>Petugas Keselematan dan Kesehatan Kerja</v>
      </c>
      <c r="F1205" s="6" t="str">
        <f>IFERROR(__xludf.DUMMYFUNCTION("""COMPUTED_VALUE"""),"Findri Findriyanti")</f>
        <v>Findri Findriyanti</v>
      </c>
      <c r="G1205" s="6" t="str">
        <f>IFERROR(__xludf.DUMMYFUNCTION("""COMPUTED_VALUE"""),"7402064210030002")</f>
        <v>7402064210030002</v>
      </c>
      <c r="J1205" s="7" t="str">
        <f>IFERROR(__xludf.DUMMYFUNCTION("""COMPUTED_VALUE"""),"PEREMPUAN")</f>
        <v>PEREMPUAN</v>
      </c>
      <c r="K1205" s="6" t="str">
        <f>IFERROR(__xludf.DUMMYFUNCTION("""COMPUTED_VALUE"""),"Desa langara iwawo kecamatan wawonii barat")</f>
        <v>Desa langara iwawo kecamatan wawonii barat</v>
      </c>
      <c r="R1205" s="7" t="str">
        <f>IFERROR(__xludf.DUMMYFUNCTION("""COMPUTED_VALUE"""),"K")</f>
        <v>K</v>
      </c>
    </row>
    <row r="1206" ht="22.5" customHeight="1">
      <c r="A1206" s="6">
        <v>1205.0</v>
      </c>
      <c r="B1206" s="6" t="str">
        <f>IFERROR(__xludf.DUMMYFUNCTION("""COMPUTED_VALUE"""),"Petugas Keselematan dan Kesehatan Kerja")</f>
        <v>Petugas Keselematan dan Kesehatan Kerja</v>
      </c>
      <c r="F1206" s="6" t="str">
        <f>IFERROR(__xludf.DUMMYFUNCTION("""COMPUTED_VALUE"""),"Nur Hafizah")</f>
        <v>Nur Hafizah</v>
      </c>
      <c r="G1206" s="6" t="str">
        <f>IFERROR(__xludf.DUMMYFUNCTION("""COMPUTED_VALUE"""),"6405026404020007")</f>
        <v>6405026404020007</v>
      </c>
      <c r="J1206" s="7" t="str">
        <f>IFERROR(__xludf.DUMMYFUNCTION("""COMPUTED_VALUE"""),"PEREMPUAN")</f>
        <v>PEREMPUAN</v>
      </c>
      <c r="K1206" s="6" t="str">
        <f>IFERROR(__xludf.DUMMYFUNCTION("""COMPUTED_VALUE"""),"Landuke, Desa Siawung, Kec. Barru")</f>
        <v>Landuke, Desa Siawung, Kec. Barru</v>
      </c>
      <c r="R1206" s="7" t="str">
        <f>IFERROR(__xludf.DUMMYFUNCTION("""COMPUTED_VALUE"""),"K")</f>
        <v>K</v>
      </c>
    </row>
    <row r="1207" ht="22.5" customHeight="1">
      <c r="A1207" s="6">
        <v>1206.0</v>
      </c>
      <c r="B1207" s="6" t="str">
        <f>IFERROR(__xludf.DUMMYFUNCTION("""COMPUTED_VALUE"""),"Petugas Keselematan dan Kesehatan Kerja")</f>
        <v>Petugas Keselematan dan Kesehatan Kerja</v>
      </c>
      <c r="F1207" s="6" t="str">
        <f>IFERROR(__xludf.DUMMYFUNCTION("""COMPUTED_VALUE"""),"Mutmainna Tamrin")</f>
        <v>Mutmainna Tamrin</v>
      </c>
      <c r="G1207" s="6" t="str">
        <f>IFERROR(__xludf.DUMMYFUNCTION("""COMPUTED_VALUE"""),"7315056812020002")</f>
        <v>7315056812020002</v>
      </c>
      <c r="J1207" s="7" t="str">
        <f>IFERROR(__xludf.DUMMYFUNCTION("""COMPUTED_VALUE"""),"PEREMPUAN")</f>
        <v>PEREMPUAN</v>
      </c>
      <c r="K1207" s="6" t="str">
        <f>IFERROR(__xludf.DUMMYFUNCTION("""COMPUTED_VALUE"""),"SENGAE UTARA,DUSUN SENGAE")</f>
        <v>SENGAE UTARA,DUSUN SENGAE</v>
      </c>
      <c r="R1207" s="7" t="str">
        <f>IFERROR(__xludf.DUMMYFUNCTION("""COMPUTED_VALUE"""),"K")</f>
        <v>K</v>
      </c>
    </row>
    <row r="1208" ht="22.5" customHeight="1">
      <c r="A1208" s="6">
        <v>1207.0</v>
      </c>
      <c r="B1208" s="6" t="str">
        <f>IFERROR(__xludf.DUMMYFUNCTION("""COMPUTED_VALUE"""),"Pengelolaan Administrasi Perkantoraan")</f>
        <v>Pengelolaan Administrasi Perkantoraan</v>
      </c>
      <c r="F1208" s="6" t="str">
        <f>IFERROR(__xludf.DUMMYFUNCTION("""COMPUTED_VALUE"""),"Aulia Adel Mulia")</f>
        <v>Aulia Adel Mulia</v>
      </c>
      <c r="G1208" s="6" t="str">
        <f>IFERROR(__xludf.DUMMYFUNCTION("""COMPUTED_VALUE"""),"7471034111030001")</f>
        <v>7471034111030001</v>
      </c>
      <c r="J1208" s="7" t="str">
        <f>IFERROR(__xludf.DUMMYFUNCTION("""COMPUTED_VALUE"""),"PEREMPUAN")</f>
        <v>PEREMPUAN</v>
      </c>
      <c r="K1208" s="6" t="str">
        <f>IFERROR(__xludf.DUMMYFUNCTION("""COMPUTED_VALUE"""),"btn findayani indah blok b/6")</f>
        <v>btn findayani indah blok b/6</v>
      </c>
      <c r="R1208" s="7" t="str">
        <f>IFERROR(__xludf.DUMMYFUNCTION("""COMPUTED_VALUE"""),"K")</f>
        <v>K</v>
      </c>
    </row>
    <row r="1209" ht="22.5" customHeight="1">
      <c r="A1209" s="6">
        <v>1208.0</v>
      </c>
      <c r="B1209" s="6" t="str">
        <f>IFERROR(__xludf.DUMMYFUNCTION("""COMPUTED_VALUE"""),"Pengelolaan Administrasi Perkantoraan")</f>
        <v>Pengelolaan Administrasi Perkantoraan</v>
      </c>
      <c r="F1209" s="6" t="str">
        <f>IFERROR(__xludf.DUMMYFUNCTION("""COMPUTED_VALUE"""),"Astria Putri Ning Hidayah")</f>
        <v>Astria Putri Ning Hidayah</v>
      </c>
      <c r="G1209" s="6" t="str">
        <f>IFERROR(__xludf.DUMMYFUNCTION("""COMPUTED_VALUE"""),"7472066112020004")</f>
        <v>7472066112020004</v>
      </c>
      <c r="J1209" s="7" t="str">
        <f>IFERROR(__xludf.DUMMYFUNCTION("""COMPUTED_VALUE"""),"PEREMPUAN")</f>
        <v>PEREMPUAN</v>
      </c>
      <c r="K1209" s="6" t="str">
        <f>IFERROR(__xludf.DUMMYFUNCTION("""COMPUTED_VALUE"""),"Jalan Salangga")</f>
        <v>Jalan Salangga</v>
      </c>
      <c r="R1209" s="7" t="str">
        <f>IFERROR(__xludf.DUMMYFUNCTION("""COMPUTED_VALUE"""),"K")</f>
        <v>K</v>
      </c>
    </row>
    <row r="1210" ht="22.5" customHeight="1">
      <c r="A1210" s="6">
        <v>1209.0</v>
      </c>
      <c r="B1210" s="6" t="str">
        <f>IFERROR(__xludf.DUMMYFUNCTION("""COMPUTED_VALUE"""),"Pengelolaan Administrasi Perkantoraan")</f>
        <v>Pengelolaan Administrasi Perkantoraan</v>
      </c>
      <c r="F1210" s="6" t="str">
        <f>IFERROR(__xludf.DUMMYFUNCTION("""COMPUTED_VALUE"""),"SITTI KHADIJAH ")</f>
        <v>SITTI KHADIJAH </v>
      </c>
      <c r="G1210" s="6" t="str">
        <f>IFERROR(__xludf.DUMMYFUNCTION("""COMPUTED_VALUE"""),"7402195209040003")</f>
        <v>7402195209040003</v>
      </c>
      <c r="J1210" s="7" t="str">
        <f>IFERROR(__xludf.DUMMYFUNCTION("""COMPUTED_VALUE"""),"PEREMPUAN")</f>
        <v>PEREMPUAN</v>
      </c>
      <c r="K1210" s="6" t="str">
        <f>IFERROR(__xludf.DUMMYFUNCTION("""COMPUTED_VALUE"""),"Desa lahotutu kecamatan wonggeduku barat kabupaten Konawe Sulawesi tenggara")</f>
        <v>Desa lahotutu kecamatan wonggeduku barat kabupaten Konawe Sulawesi tenggara</v>
      </c>
      <c r="R1210" s="7" t="str">
        <f>IFERROR(__xludf.DUMMYFUNCTION("""COMPUTED_VALUE"""),"K")</f>
        <v>K</v>
      </c>
    </row>
    <row r="1211" ht="22.5" customHeight="1">
      <c r="A1211" s="6">
        <v>1210.0</v>
      </c>
      <c r="B1211" s="6" t="str">
        <f>IFERROR(__xludf.DUMMYFUNCTION("""COMPUTED_VALUE"""),"Pengelolaan Administrasi Perkantoraan")</f>
        <v>Pengelolaan Administrasi Perkantoraan</v>
      </c>
      <c r="F1211" s="6" t="str">
        <f>IFERROR(__xludf.DUMMYFUNCTION("""COMPUTED_VALUE"""),"Zahra Vebryan Maharani")</f>
        <v>Zahra Vebryan Maharani</v>
      </c>
      <c r="G1211" s="6" t="str">
        <f>IFERROR(__xludf.DUMMYFUNCTION("""COMPUTED_VALUE"""),"7403116202040203")</f>
        <v>7403116202040203</v>
      </c>
      <c r="J1211" s="7" t="str">
        <f>IFERROR(__xludf.DUMMYFUNCTION("""COMPUTED_VALUE"""),"PEREMPUAN")</f>
        <v>PEREMPUAN</v>
      </c>
      <c r="K1211" s="6" t="str">
        <f>IFERROR(__xludf.DUMMYFUNCTION("""COMPUTED_VALUE"""),"BTN Bukit Kartika II Lepo Lepo")</f>
        <v>BTN Bukit Kartika II Lepo Lepo</v>
      </c>
      <c r="R1211" s="7" t="str">
        <f>IFERROR(__xludf.DUMMYFUNCTION("""COMPUTED_VALUE"""),"K")</f>
        <v>K</v>
      </c>
    </row>
    <row r="1212" ht="22.5" customHeight="1">
      <c r="A1212" s="6">
        <v>1211.0</v>
      </c>
      <c r="B1212" s="6" t="str">
        <f>IFERROR(__xludf.DUMMYFUNCTION("""COMPUTED_VALUE"""),"Pengelolaan Administrasi Perkantoraan")</f>
        <v>Pengelolaan Administrasi Perkantoraan</v>
      </c>
      <c r="F1212" s="6" t="str">
        <f>IFERROR(__xludf.DUMMYFUNCTION("""COMPUTED_VALUE"""),"PUSPITA MAHARANI HASAN")</f>
        <v>PUSPITA MAHARANI HASAN</v>
      </c>
      <c r="G1212" s="6" t="str">
        <f>IFERROR(__xludf.DUMMYFUNCTION("""COMPUTED_VALUE"""),"7472065805020001")</f>
        <v>7472065805020001</v>
      </c>
      <c r="J1212" s="7" t="str">
        <f>IFERROR(__xludf.DUMMYFUNCTION("""COMPUTED_VALUE"""),"PEREMPUAN")</f>
        <v>PEREMPUAN</v>
      </c>
      <c r="K1212" s="6" t="str">
        <f>IFERROR(__xludf.DUMMYFUNCTION("""COMPUTED_VALUE"""),"JL. SAKURA")</f>
        <v>JL. SAKURA</v>
      </c>
      <c r="R1212" s="7" t="str">
        <f>IFERROR(__xludf.DUMMYFUNCTION("""COMPUTED_VALUE"""),"K")</f>
        <v>K</v>
      </c>
    </row>
    <row r="1213" ht="22.5" customHeight="1">
      <c r="A1213" s="6">
        <v>1212.0</v>
      </c>
      <c r="B1213" s="6" t="str">
        <f>IFERROR(__xludf.DUMMYFUNCTION("""COMPUTED_VALUE"""),"Pengelolaan Administrasi Perkantoraan")</f>
        <v>Pengelolaan Administrasi Perkantoraan</v>
      </c>
      <c r="F1213" s="6" t="str">
        <f>IFERROR(__xludf.DUMMYFUNCTION("""COMPUTED_VALUE"""),"Hijrah Rahim")</f>
        <v>Hijrah Rahim</v>
      </c>
      <c r="G1213" s="6" t="str">
        <f>IFERROR(__xludf.DUMMYFUNCTION("""COMPUTED_VALUE"""),"5305065309020001")</f>
        <v>5305065309020001</v>
      </c>
      <c r="J1213" s="7" t="str">
        <f>IFERROR(__xludf.DUMMYFUNCTION("""COMPUTED_VALUE"""),"PEREMPUAN")</f>
        <v>PEREMPUAN</v>
      </c>
      <c r="K1213" s="6" t="str">
        <f>IFERROR(__xludf.DUMMYFUNCTION("""COMPUTED_VALUE"""),"Kabir, Kec. Pantar, Kab. Alor, Provinsi NTT")</f>
        <v>Kabir, Kec. Pantar, Kab. Alor, Provinsi NTT</v>
      </c>
      <c r="R1213" s="7" t="str">
        <f>IFERROR(__xludf.DUMMYFUNCTION("""COMPUTED_VALUE"""),"K")</f>
        <v>K</v>
      </c>
    </row>
    <row r="1214" ht="22.5" customHeight="1">
      <c r="A1214" s="6">
        <v>1213.0</v>
      </c>
      <c r="B1214" s="6" t="str">
        <f>IFERROR(__xludf.DUMMYFUNCTION("""COMPUTED_VALUE"""),"Petugas Keselematan dan Kesehatan Kerja")</f>
        <v>Petugas Keselematan dan Kesehatan Kerja</v>
      </c>
      <c r="F1214" s="6" t="str">
        <f>IFERROR(__xludf.DUMMYFUNCTION("""COMPUTED_VALUE"""),"Muhammad Mei Saputra")</f>
        <v>Muhammad Mei Saputra</v>
      </c>
      <c r="G1214" s="6" t="str">
        <f>IFERROR(__xludf.DUMMYFUNCTION("""COMPUTED_VALUE"""),"7403380105040001")</f>
        <v>7403380105040001</v>
      </c>
      <c r="J1214" s="7" t="str">
        <f>IFERROR(__xludf.DUMMYFUNCTION("""COMPUTED_VALUE"""),"LAKI-LAKI")</f>
        <v>LAKI-LAKI</v>
      </c>
      <c r="K1214" s="6" t="str">
        <f>IFERROR(__xludf.DUMMYFUNCTION("""COMPUTED_VALUE"""),"Desa Kasimpa Jaya")</f>
        <v>Desa Kasimpa Jaya</v>
      </c>
      <c r="R1214" s="7" t="str">
        <f>IFERROR(__xludf.DUMMYFUNCTION("""COMPUTED_VALUE"""),"K")</f>
        <v>K</v>
      </c>
    </row>
    <row r="1215" ht="22.5" customHeight="1">
      <c r="A1215" s="6">
        <v>1214.0</v>
      </c>
      <c r="B1215" s="6" t="str">
        <f>IFERROR(__xludf.DUMMYFUNCTION("""COMPUTED_VALUE"""),"Petugas Keselematan dan Kesehatan Kerja")</f>
        <v>Petugas Keselematan dan Kesehatan Kerja</v>
      </c>
      <c r="F1215" s="6" t="str">
        <f>IFERROR(__xludf.DUMMYFUNCTION("""COMPUTED_VALUE"""),"ANGRAENI CHAYATULLAH DASLIN")</f>
        <v>ANGRAENI CHAYATULLAH DASLIN</v>
      </c>
      <c r="G1215" s="6" t="str">
        <f>IFERROR(__xludf.DUMMYFUNCTION("""COMPUTED_VALUE"""),"7311055810030003")</f>
        <v>7311055810030003</v>
      </c>
      <c r="J1215" s="7" t="str">
        <f>IFERROR(__xludf.DUMMYFUNCTION("""COMPUTED_VALUE"""),"PEREMPUAN")</f>
        <v>PEREMPUAN</v>
      </c>
      <c r="K1215" s="6" t="str">
        <f>IFERROR(__xludf.DUMMYFUNCTION("""COMPUTED_VALUE"""),"Jl. Andi Pananong, Palanro, Kec. Mallusetasi Kab. Barru")</f>
        <v>Jl. Andi Pananong, Palanro, Kec. Mallusetasi Kab. Barru</v>
      </c>
      <c r="R1215" s="7" t="str">
        <f>IFERROR(__xludf.DUMMYFUNCTION("""COMPUTED_VALUE"""),"K")</f>
        <v>K</v>
      </c>
    </row>
    <row r="1216" ht="22.5" customHeight="1">
      <c r="A1216" s="6">
        <v>1215.0</v>
      </c>
      <c r="B1216" s="6" t="str">
        <f>IFERROR(__xludf.DUMMYFUNCTION("""COMPUTED_VALUE"""),"Petugas Keselematan dan Kesehatan Kerja")</f>
        <v>Petugas Keselematan dan Kesehatan Kerja</v>
      </c>
      <c r="F1216" s="6" t="str">
        <f>IFERROR(__xludf.DUMMYFUNCTION("""COMPUTED_VALUE"""),"Defrin")</f>
        <v>Defrin</v>
      </c>
      <c r="G1216" s="6" t="str">
        <f>IFERROR(__xludf.DUMMYFUNCTION("""COMPUTED_VALUE"""),"7407022702010001")</f>
        <v>7407022702010001</v>
      </c>
      <c r="J1216" s="7" t="str">
        <f>IFERROR(__xludf.DUMMYFUNCTION("""COMPUTED_VALUE"""),"LAKI-LAKI")</f>
        <v>LAKI-LAKI</v>
      </c>
      <c r="K1216" s="6" t="str">
        <f>IFERROR(__xludf.DUMMYFUNCTION("""COMPUTED_VALUE"""),"Balasuna")</f>
        <v>Balasuna</v>
      </c>
      <c r="R1216" s="7" t="str">
        <f>IFERROR(__xludf.DUMMYFUNCTION("""COMPUTED_VALUE"""),"BK")</f>
        <v>BK</v>
      </c>
    </row>
    <row r="1217" ht="22.5" customHeight="1">
      <c r="A1217" s="6">
        <v>1216.0</v>
      </c>
      <c r="B1217" s="6" t="str">
        <f>IFERROR(__xludf.DUMMYFUNCTION("""COMPUTED_VALUE"""),"Analis Data (Data Analyst)")</f>
        <v>Analis Data (Data Analyst)</v>
      </c>
      <c r="F1217" s="6" t="str">
        <f>IFERROR(__xludf.DUMMYFUNCTION("""COMPUTED_VALUE"""),"Aldi")</f>
        <v>Aldi</v>
      </c>
      <c r="G1217" s="6" t="str">
        <f>IFERROR(__xludf.DUMMYFUNCTION("""COMPUTED_VALUE"""),"7407012911020001")</f>
        <v>7407012911020001</v>
      </c>
      <c r="J1217" s="7" t="str">
        <f>IFERROR(__xludf.DUMMYFUNCTION("""COMPUTED_VALUE"""),"LAKI-LAKI")</f>
        <v>LAKI-LAKI</v>
      </c>
      <c r="K1217" s="6" t="str">
        <f>IFERROR(__xludf.DUMMYFUNCTION("""COMPUTED_VALUE"""),"Lorong Ambon Permai, Kambu")</f>
        <v>Lorong Ambon Permai, Kambu</v>
      </c>
      <c r="R1217" s="7" t="str">
        <f>IFERROR(__xludf.DUMMYFUNCTION("""COMPUTED_VALUE"""),"K")</f>
        <v>K</v>
      </c>
    </row>
    <row r="1218" ht="22.5" customHeight="1">
      <c r="A1218" s="6">
        <v>1217.0</v>
      </c>
      <c r="B1218" s="6" t="str">
        <f>IFERROR(__xludf.DUMMYFUNCTION("""COMPUTED_VALUE"""),"Operator Komputer (Computer Operator")</f>
        <v>Operator Komputer (Computer Operator</v>
      </c>
      <c r="F1218" s="6" t="str">
        <f>IFERROR(__xludf.DUMMYFUNCTION("""COMPUTED_VALUE"""),"Chafifah Apriliani Asrat")</f>
        <v>Chafifah Apriliani Asrat</v>
      </c>
      <c r="G1218" s="6" t="str">
        <f>IFERROR(__xludf.DUMMYFUNCTION("""COMPUTED_VALUE"""),"7402026004040001")</f>
        <v>7402026004040001</v>
      </c>
      <c r="J1218" s="7" t="str">
        <f>IFERROR(__xludf.DUMMYFUNCTION("""COMPUTED_VALUE"""),"PEREMPUAN")</f>
        <v>PEREMPUAN</v>
      </c>
      <c r="K1218" s="6" t="str">
        <f>IFERROR(__xludf.DUMMYFUNCTION("""COMPUTED_VALUE"""),"Kel. Tumpas, Kec. Unaaha, Kab. Konawe")</f>
        <v>Kel. Tumpas, Kec. Unaaha, Kab. Konawe</v>
      </c>
      <c r="R1218" s="7" t="str">
        <f>IFERROR(__xludf.DUMMYFUNCTION("""COMPUTED_VALUE"""),"K")</f>
        <v>K</v>
      </c>
    </row>
    <row r="1219" ht="22.5" customHeight="1">
      <c r="A1219" s="6">
        <v>1218.0</v>
      </c>
      <c r="B1219" s="6" t="str">
        <f>IFERROR(__xludf.DUMMYFUNCTION("""COMPUTED_VALUE"""),"Pembuatan Desain Grafis")</f>
        <v>Pembuatan Desain Grafis</v>
      </c>
      <c r="F1219" s="6" t="str">
        <f>IFERROR(__xludf.DUMMYFUNCTION("""COMPUTED_VALUE"""),"Wiwin Rahmawati ")</f>
        <v>Wiwin Rahmawati </v>
      </c>
      <c r="G1219" s="6" t="str">
        <f>IFERROR(__xludf.DUMMYFUNCTION("""COMPUTED_VALUE"""),"7405015907030004")</f>
        <v>7405015907030004</v>
      </c>
      <c r="J1219" s="7" t="str">
        <f>IFERROR(__xludf.DUMMYFUNCTION("""COMPUTED_VALUE"""),"PEREMPUAN")</f>
        <v>PEREMPUAN</v>
      </c>
      <c r="K1219" s="6" t="str">
        <f>IFERROR(__xludf.DUMMYFUNCTION("""COMPUTED_VALUE"""),"Asingi, Kec. Tinanggea ")</f>
        <v>Asingi, Kec. Tinanggea </v>
      </c>
      <c r="R1219" s="7" t="str">
        <f>IFERROR(__xludf.DUMMYFUNCTION("""COMPUTED_VALUE"""),"K")</f>
        <v>K</v>
      </c>
    </row>
    <row r="1220" ht="22.5" customHeight="1">
      <c r="A1220" s="6">
        <v>1219.0</v>
      </c>
      <c r="B1220" s="6" t="str">
        <f>IFERROR(__xludf.DUMMYFUNCTION("""COMPUTED_VALUE"""),"Pelayanan Pelanggan")</f>
        <v>Pelayanan Pelanggan</v>
      </c>
      <c r="F1220" s="6" t="str">
        <f>IFERROR(__xludf.DUMMYFUNCTION("""COMPUTED_VALUE"""),"KHAIRUNNISA")</f>
        <v>KHAIRUNNISA</v>
      </c>
      <c r="G1220" s="6">
        <f>IFERROR(__xludf.DUMMYFUNCTION("""COMPUTED_VALUE"""),7.40508490503002E14)</f>
        <v>740508490503002</v>
      </c>
      <c r="J1220" s="7" t="str">
        <f>IFERROR(__xludf.DUMMYFUNCTION("""COMPUTED_VALUE"""),"PEREMPUAN")</f>
        <v>PEREMPUAN</v>
      </c>
      <c r="K1220" s="6" t="str">
        <f>IFERROR(__xludf.DUMMYFUNCTION("""COMPUTED_VALUE"""),"BTN MALEO 1 BLOK J1 NO.5")</f>
        <v>BTN MALEO 1 BLOK J1 NO.5</v>
      </c>
      <c r="R1220" s="7" t="str">
        <f>IFERROR(__xludf.DUMMYFUNCTION("""COMPUTED_VALUE"""),"K")</f>
        <v>K</v>
      </c>
    </row>
    <row r="1221" ht="22.5" customHeight="1">
      <c r="A1221" s="6">
        <v>1220.0</v>
      </c>
      <c r="B1221" s="6" t="str">
        <f>IFERROR(__xludf.DUMMYFUNCTION("""COMPUTED_VALUE"""),"Pelayanan Pelanggan")</f>
        <v>Pelayanan Pelanggan</v>
      </c>
      <c r="F1221" s="6" t="str">
        <f>IFERROR(__xludf.DUMMYFUNCTION("""COMPUTED_VALUE"""),"SARMILA ZALISA")</f>
        <v>SARMILA ZALISA</v>
      </c>
      <c r="G1221" s="6" t="str">
        <f>IFERROR(__xludf.DUMMYFUNCTION("""COMPUTED_VALUE"""),"7472014903030001")</f>
        <v>7472014903030001</v>
      </c>
      <c r="J1221" s="7" t="str">
        <f>IFERROR(__xludf.DUMMYFUNCTION("""COMPUTED_VALUE"""),"PEREMPUAN")</f>
        <v>PEREMPUAN</v>
      </c>
      <c r="K1221" s="6" t="str">
        <f>IFERROR(__xludf.DUMMYFUNCTION("""COMPUTED_VALUE"""),"Jl. Betoambari")</f>
        <v>Jl. Betoambari</v>
      </c>
      <c r="R1221" s="7" t="str">
        <f>IFERROR(__xludf.DUMMYFUNCTION("""COMPUTED_VALUE"""),"K")</f>
        <v>K</v>
      </c>
    </row>
    <row r="1222" ht="22.5" customHeight="1">
      <c r="A1222" s="6">
        <v>1221.0</v>
      </c>
      <c r="B1222" s="6" t="str">
        <f>IFERROR(__xludf.DUMMYFUNCTION("""COMPUTED_VALUE"""),"Pelayanan Pelanggan")</f>
        <v>Pelayanan Pelanggan</v>
      </c>
      <c r="F1222" s="6" t="str">
        <f>IFERROR(__xludf.DUMMYFUNCTION("""COMPUTED_VALUE"""),"ISRA MAYANTI ")</f>
        <v>ISRA MAYANTI </v>
      </c>
      <c r="G1222" s="6" t="str">
        <f>IFERROR(__xludf.DUMMYFUNCTION("""COMPUTED_VALUE"""),"7410025202020001")</f>
        <v>7410025202020001</v>
      </c>
      <c r="J1222" s="7" t="str">
        <f>IFERROR(__xludf.DUMMYFUNCTION("""COMPUTED_VALUE"""),"PEREMPUAN")</f>
        <v>PEREMPUAN</v>
      </c>
      <c r="K1222" s="6" t="str">
        <f>IFERROR(__xludf.DUMMYFUNCTION("""COMPUTED_VALUE"""),"Dusun Baluara,Kec Kambowa,Kab.Buton Utara ")</f>
        <v>Dusun Baluara,Kec Kambowa,Kab.Buton Utara </v>
      </c>
      <c r="R1222" s="7" t="str">
        <f>IFERROR(__xludf.DUMMYFUNCTION("""COMPUTED_VALUE"""),"K")</f>
        <v>K</v>
      </c>
    </row>
    <row r="1223" ht="22.5" customHeight="1">
      <c r="A1223" s="6">
        <v>1222.0</v>
      </c>
      <c r="B1223" s="6" t="str">
        <f>IFERROR(__xludf.DUMMYFUNCTION("""COMPUTED_VALUE"""),"Pelayanan Pelanggan")</f>
        <v>Pelayanan Pelanggan</v>
      </c>
      <c r="F1223" s="6" t="str">
        <f>IFERROR(__xludf.DUMMYFUNCTION("""COMPUTED_VALUE"""),"Sufiani")</f>
        <v>Sufiani</v>
      </c>
      <c r="G1223" s="6" t="str">
        <f>IFERROR(__xludf.DUMMYFUNCTION("""COMPUTED_VALUE"""),"7406066404030002")</f>
        <v>7406066404030002</v>
      </c>
      <c r="J1223" s="7" t="str">
        <f>IFERROR(__xludf.DUMMYFUNCTION("""COMPUTED_VALUE"""),"PEREMPUAN")</f>
        <v>PEREMPUAN</v>
      </c>
      <c r="K1223" s="6" t="str">
        <f>IFERROR(__xludf.DUMMYFUNCTION("""COMPUTED_VALUE"""),"Dongkala Kabaena timur kabupaten Bombana ")</f>
        <v>Dongkala Kabaena timur kabupaten Bombana </v>
      </c>
      <c r="R1223" s="7" t="str">
        <f>IFERROR(__xludf.DUMMYFUNCTION("""COMPUTED_VALUE"""),"K")</f>
        <v>K</v>
      </c>
    </row>
    <row r="1224" ht="22.5" customHeight="1">
      <c r="A1224" s="6">
        <v>1223.0</v>
      </c>
      <c r="B1224" s="6" t="str">
        <f>IFERROR(__xludf.DUMMYFUNCTION("""COMPUTED_VALUE"""),"Pelayanan Pelanggan")</f>
        <v>Pelayanan Pelanggan</v>
      </c>
      <c r="F1224" s="6" t="str">
        <f>IFERROR(__xludf.DUMMYFUNCTION("""COMPUTED_VALUE"""),"Amalia Latif")</f>
        <v>Amalia Latif</v>
      </c>
      <c r="G1224" s="6" t="str">
        <f>IFERROR(__xludf.DUMMYFUNCTION("""COMPUTED_VALUE"""),"7472024907010001")</f>
        <v>7472024907010001</v>
      </c>
      <c r="J1224" s="7" t="str">
        <f>IFERROR(__xludf.DUMMYFUNCTION("""COMPUTED_VALUE"""),"PEREMPUAN")</f>
        <v>PEREMPUAN</v>
      </c>
      <c r="K1224" s="6" t="str">
        <f>IFERROR(__xludf.DUMMYFUNCTION("""COMPUTED_VALUE"""),"Lingkungan kuala, RT/RW 002/006, Kel. Bataraguru, Kec. Wolio, Kota Baubau")</f>
        <v>Lingkungan kuala, RT/RW 002/006, Kel. Bataraguru, Kec. Wolio, Kota Baubau</v>
      </c>
      <c r="R1224" s="7" t="str">
        <f>IFERROR(__xludf.DUMMYFUNCTION("""COMPUTED_VALUE"""),"K")</f>
        <v>K</v>
      </c>
    </row>
    <row r="1225" ht="22.5" customHeight="1">
      <c r="A1225" s="6">
        <v>1224.0</v>
      </c>
      <c r="B1225" s="6" t="str">
        <f>IFERROR(__xludf.DUMMYFUNCTION("""COMPUTED_VALUE"""),"Pelayanan Pelanggan")</f>
        <v>Pelayanan Pelanggan</v>
      </c>
      <c r="F1225" s="6" t="str">
        <f>IFERROR(__xludf.DUMMYFUNCTION("""COMPUTED_VALUE"""),"NUR FADHILAH")</f>
        <v>NUR FADHILAH</v>
      </c>
      <c r="G1225" s="6" t="str">
        <f>IFERROR(__xludf.DUMMYFUNCTION("""COMPUTED_VALUE"""),"7405106106050001")</f>
        <v>7405106106050001</v>
      </c>
      <c r="J1225" s="7" t="str">
        <f>IFERROR(__xludf.DUMMYFUNCTION("""COMPUTED_VALUE"""),"PEREMPUAN")</f>
        <v>PEREMPUAN</v>
      </c>
      <c r="K1225" s="6" t="str">
        <f>IFERROR(__xludf.DUMMYFUNCTION("""COMPUTED_VALUE"""),"Desa watu porambaa, kec. Moramo")</f>
        <v>Desa watu porambaa, kec. Moramo</v>
      </c>
      <c r="R1225" s="7" t="str">
        <f>IFERROR(__xludf.DUMMYFUNCTION("""COMPUTED_VALUE"""),"K")</f>
        <v>K</v>
      </c>
    </row>
    <row r="1226" ht="22.5" customHeight="1">
      <c r="A1226" s="6">
        <v>1225.0</v>
      </c>
      <c r="B1226" s="6" t="str">
        <f>IFERROR(__xludf.DUMMYFUNCTION("""COMPUTED_VALUE"""),"Pelayanan Pelanggan")</f>
        <v>Pelayanan Pelanggan</v>
      </c>
      <c r="F1226" s="6" t="str">
        <f>IFERROR(__xludf.DUMMYFUNCTION("""COMPUTED_VALUE"""),"Lisnawati, S. Pd.")</f>
        <v>Lisnawati, S. Pd.</v>
      </c>
      <c r="G1226" s="6" t="str">
        <f>IFERROR(__xludf.DUMMYFUNCTION("""COMPUTED_VALUE"""),"7407075508940001")</f>
        <v>7407075508940001</v>
      </c>
      <c r="J1226" s="7" t="str">
        <f>IFERROR(__xludf.DUMMYFUNCTION("""COMPUTED_VALUE"""),"PEREMPUAN")</f>
        <v>PEREMPUAN</v>
      </c>
      <c r="K1226" s="6" t="str">
        <f>IFERROR(__xludf.DUMMYFUNCTION("""COMPUTED_VALUE"""),"Dusun Bente, Desa Kahiyanga, Kecamatan Tomia Timur, Kabupaten Wakatobi, Sulawesi Tenggara ")</f>
        <v>Dusun Bente, Desa Kahiyanga, Kecamatan Tomia Timur, Kabupaten Wakatobi, Sulawesi Tenggara </v>
      </c>
      <c r="R1226" s="7" t="str">
        <f>IFERROR(__xludf.DUMMYFUNCTION("""COMPUTED_VALUE"""),"K")</f>
        <v>K</v>
      </c>
    </row>
    <row r="1227" ht="22.5" customHeight="1">
      <c r="A1227" s="6">
        <v>1226.0</v>
      </c>
      <c r="B1227" s="6" t="str">
        <f>IFERROR(__xludf.DUMMYFUNCTION("""COMPUTED_VALUE"""),"Pengelolaan Administrasi Perkantoraan")</f>
        <v>Pengelolaan Administrasi Perkantoraan</v>
      </c>
      <c r="F1227" s="6" t="str">
        <f>IFERROR(__xludf.DUMMYFUNCTION("""COMPUTED_VALUE"""),"Faradilla Cahya Wahyuni")</f>
        <v>Faradilla Cahya Wahyuni</v>
      </c>
      <c r="G1227" s="6" t="str">
        <f>IFERROR(__xludf.DUMMYFUNCTION("""COMPUTED_VALUE"""),"7471015802030003")</f>
        <v>7471015802030003</v>
      </c>
      <c r="J1227" s="7" t="str">
        <f>IFERROR(__xludf.DUMMYFUNCTION("""COMPUTED_VALUE"""),"PEREMPUAN")</f>
        <v>PEREMPUAN</v>
      </c>
      <c r="K1227" s="6" t="str">
        <f>IFERROR(__xludf.DUMMYFUNCTION("""COMPUTED_VALUE"""),"Jl.Drs.H.Abdullah Silondae")</f>
        <v>Jl.Drs.H.Abdullah Silondae</v>
      </c>
      <c r="R1227" s="7" t="str">
        <f>IFERROR(__xludf.DUMMYFUNCTION("""COMPUTED_VALUE"""),"K")</f>
        <v>K</v>
      </c>
    </row>
    <row r="1228" ht="22.5" customHeight="1">
      <c r="A1228" s="6">
        <v>1227.0</v>
      </c>
      <c r="B1228" s="6" t="str">
        <f>IFERROR(__xludf.DUMMYFUNCTION("""COMPUTED_VALUE"""),"Pengelolaan Administrasi Perkantoraan")</f>
        <v>Pengelolaan Administrasi Perkantoraan</v>
      </c>
      <c r="F1228" s="6" t="str">
        <f>IFERROR(__xludf.DUMMYFUNCTION("""COMPUTED_VALUE"""),"Muh. Zulkifli")</f>
        <v>Muh. Zulkifli</v>
      </c>
      <c r="G1228" s="6" t="str">
        <f>IFERROR(__xludf.DUMMYFUNCTION("""COMPUTED_VALUE"""),"7406010612030001")</f>
        <v>7406010612030001</v>
      </c>
      <c r="J1228" s="7" t="str">
        <f>IFERROR(__xludf.DUMMYFUNCTION("""COMPUTED_VALUE"""),"LAKI-LAKI")</f>
        <v>LAKI-LAKI</v>
      </c>
      <c r="K1228" s="6" t="str">
        <f>IFERROR(__xludf.DUMMYFUNCTION("""COMPUTED_VALUE"""),"Bajo Barat, Kec. Poleang")</f>
        <v>Bajo Barat, Kec. Poleang</v>
      </c>
      <c r="R1228" s="7" t="str">
        <f>IFERROR(__xludf.DUMMYFUNCTION("""COMPUTED_VALUE"""),"K")</f>
        <v>K</v>
      </c>
    </row>
    <row r="1229" ht="22.5" customHeight="1">
      <c r="A1229" s="6">
        <v>1228.0</v>
      </c>
      <c r="B1229" s="6" t="str">
        <f>IFERROR(__xludf.DUMMYFUNCTION("""COMPUTED_VALUE"""),"Pengelolaan Administrasi Perkantoraan")</f>
        <v>Pengelolaan Administrasi Perkantoraan</v>
      </c>
      <c r="F1229" s="6" t="str">
        <f>IFERROR(__xludf.DUMMYFUNCTION("""COMPUTED_VALUE"""),"Fiskayanti")</f>
        <v>Fiskayanti</v>
      </c>
      <c r="G1229" s="6" t="str">
        <f>IFERROR(__xludf.DUMMYFUNCTION("""COMPUTED_VALUE"""),"7471074505020001")</f>
        <v>7471074505020001</v>
      </c>
      <c r="J1229" s="7" t="str">
        <f>IFERROR(__xludf.DUMMYFUNCTION("""COMPUTED_VALUE"""),"PEREMPUAN")</f>
        <v>PEREMPUAN</v>
      </c>
      <c r="K1229" s="6" t="str">
        <f>IFERROR(__xludf.DUMMYFUNCTION("""COMPUTED_VALUE"""),"Jl. Salemba, Kel. Punggulaka, Kec. Puuwatu")</f>
        <v>Jl. Salemba, Kel. Punggulaka, Kec. Puuwatu</v>
      </c>
      <c r="R1229" s="7" t="str">
        <f>IFERROR(__xludf.DUMMYFUNCTION("""COMPUTED_VALUE"""),"K")</f>
        <v>K</v>
      </c>
    </row>
    <row r="1230" ht="22.5" customHeight="1">
      <c r="A1230" s="6">
        <v>1229.0</v>
      </c>
      <c r="B1230" s="6" t="str">
        <f>IFERROR(__xludf.DUMMYFUNCTION("""COMPUTED_VALUE"""),"Pengelolaan Administrasi Perkantoraan")</f>
        <v>Pengelolaan Administrasi Perkantoraan</v>
      </c>
      <c r="F1230" s="6" t="str">
        <f>IFERROR(__xludf.DUMMYFUNCTION("""COMPUTED_VALUE"""),"FEBY NURAMALYA")</f>
        <v>FEBY NURAMALYA</v>
      </c>
      <c r="G1230" s="6" t="str">
        <f>IFERROR(__xludf.DUMMYFUNCTION("""COMPUTED_VALUE"""),"7471105902020001")</f>
        <v>7471105902020001</v>
      </c>
      <c r="J1230" s="7" t="str">
        <f>IFERROR(__xludf.DUMMYFUNCTION("""COMPUTED_VALUE"""),"PEREMPUAN")</f>
        <v>PEREMPUAN</v>
      </c>
      <c r="K1230" s="6" t="str">
        <f>IFERROR(__xludf.DUMMYFUNCTION("""COMPUTED_VALUE"""),"Jalan Lumba-Lumba, Kec. Kambu, Kel. Lalolara")</f>
        <v>Jalan Lumba-Lumba, Kec. Kambu, Kel. Lalolara</v>
      </c>
      <c r="R1230" s="7" t="str">
        <f>IFERROR(__xludf.DUMMYFUNCTION("""COMPUTED_VALUE"""),"K")</f>
        <v>K</v>
      </c>
    </row>
    <row r="1231" ht="22.5" customHeight="1">
      <c r="A1231" s="6">
        <v>1230.0</v>
      </c>
      <c r="B1231" s="6" t="str">
        <f>IFERROR(__xludf.DUMMYFUNCTION("""COMPUTED_VALUE"""),"Pengelolaan Administrasi Perkantoraan")</f>
        <v>Pengelolaan Administrasi Perkantoraan</v>
      </c>
      <c r="F1231" s="6" t="str">
        <f>IFERROR(__xludf.DUMMYFUNCTION("""COMPUTED_VALUE"""),"Nuraini Intan Pertiwi")</f>
        <v>Nuraini Intan Pertiwi</v>
      </c>
      <c r="G1231" s="6" t="str">
        <f>IFERROR(__xludf.DUMMYFUNCTION("""COMPUTED_VALUE"""),"7201045812000001")</f>
        <v>7201045812000001</v>
      </c>
      <c r="J1231" s="7" t="str">
        <f>IFERROR(__xludf.DUMMYFUNCTION("""COMPUTED_VALUE"""),"PEREMPUAN")</f>
        <v>PEREMPUAN</v>
      </c>
      <c r="K1231" s="6" t="str">
        <f>IFERROR(__xludf.DUMMYFUNCTION("""COMPUTED_VALUE"""),"Jl. Bunga Sedap Malam, RT/RW 02/01, Kel. Hanga-Hanga, Kec. Luwuk Selatan")</f>
        <v>Jl. Bunga Sedap Malam, RT/RW 02/01, Kel. Hanga-Hanga, Kec. Luwuk Selatan</v>
      </c>
      <c r="R1231" s="7" t="str">
        <f>IFERROR(__xludf.DUMMYFUNCTION("""COMPUTED_VALUE"""),"K")</f>
        <v>K</v>
      </c>
    </row>
    <row r="1232" ht="22.5" customHeight="1">
      <c r="A1232" s="6">
        <v>1231.0</v>
      </c>
      <c r="B1232" s="6" t="str">
        <f>IFERROR(__xludf.DUMMYFUNCTION("""COMPUTED_VALUE"""),"Pengelolaan Administrasi Perkantoraan")</f>
        <v>Pengelolaan Administrasi Perkantoraan</v>
      </c>
      <c r="F1232" s="6" t="str">
        <f>IFERROR(__xludf.DUMMYFUNCTION("""COMPUTED_VALUE"""),"MUHAMMAD SYAMSUL RAMADAN")</f>
        <v>MUHAMMAD SYAMSUL RAMADAN</v>
      </c>
      <c r="G1232" s="6" t="str">
        <f>IFERROR(__xludf.DUMMYFUNCTION("""COMPUTED_VALUE"""),"7471051711030001")</f>
        <v>7471051711030001</v>
      </c>
      <c r="J1232" s="7" t="str">
        <f>IFERROR(__xludf.DUMMYFUNCTION("""COMPUTED_VALUE"""),"LAKI-LAKI")</f>
        <v>LAKI-LAKI</v>
      </c>
      <c r="K1232" s="6" t="str">
        <f>IFERROR(__xludf.DUMMYFUNCTION("""COMPUTED_VALUE"""),"Jl. Bunga Duri 3 No. 18, RT 012, RW 005, Kel. Lahundape, Kec. Kendari Barat, Kota Kendari, Sulawesi Tenggara")</f>
        <v>Jl. Bunga Duri 3 No. 18, RT 012, RW 005, Kel. Lahundape, Kec. Kendari Barat, Kota Kendari, Sulawesi Tenggara</v>
      </c>
      <c r="R1232" s="7" t="str">
        <f>IFERROR(__xludf.DUMMYFUNCTION("""COMPUTED_VALUE"""),"K")</f>
        <v>K</v>
      </c>
    </row>
    <row r="1233" ht="22.5" customHeight="1">
      <c r="A1233" s="6">
        <v>1232.0</v>
      </c>
      <c r="B1233" s="6" t="str">
        <f>IFERROR(__xludf.DUMMYFUNCTION("""COMPUTED_VALUE"""),"Pengelolaan Administrasi Perkantoraan")</f>
        <v>Pengelolaan Administrasi Perkantoraan</v>
      </c>
      <c r="F1233" s="6" t="str">
        <f>IFERROR(__xludf.DUMMYFUNCTION("""COMPUTED_VALUE"""),"Sajel")</f>
        <v>Sajel</v>
      </c>
      <c r="G1233" s="6" t="str">
        <f>IFERROR(__xludf.DUMMYFUNCTION("""COMPUTED_VALUE"""),"7404116807030002")</f>
        <v>7404116807030002</v>
      </c>
      <c r="J1233" s="7" t="str">
        <f>IFERROR(__xludf.DUMMYFUNCTION("""COMPUTED_VALUE"""),"LAKI-LAKI")</f>
        <v>LAKI-LAKI</v>
      </c>
      <c r="K1233" s="6" t="str">
        <f>IFERROR(__xludf.DUMMYFUNCTION("""COMPUTED_VALUE"""),"Kel. Awainulu, Kecamatan Pasarwajo, Kabupaten Buton")</f>
        <v>Kel. Awainulu, Kecamatan Pasarwajo, Kabupaten Buton</v>
      </c>
      <c r="R1233" s="7" t="str">
        <f>IFERROR(__xludf.DUMMYFUNCTION("""COMPUTED_VALUE"""),"K")</f>
        <v>K</v>
      </c>
    </row>
    <row r="1234" ht="22.5" customHeight="1">
      <c r="A1234" s="6">
        <v>1233.0</v>
      </c>
      <c r="B1234" s="6" t="str">
        <f>IFERROR(__xludf.DUMMYFUNCTION("""COMPUTED_VALUE"""),"Pengelolaan Administrasi Perkantoraan")</f>
        <v>Pengelolaan Administrasi Perkantoraan</v>
      </c>
      <c r="F1234" s="6" t="str">
        <f>IFERROR(__xludf.DUMMYFUNCTION("""COMPUTED_VALUE"""),"La Ode Muhammad Albar")</f>
        <v>La Ode Muhammad Albar</v>
      </c>
      <c r="G1234" s="6" t="str">
        <f>IFERROR(__xludf.DUMMYFUNCTION("""COMPUTED_VALUE"""),"7403160305030001")</f>
        <v>7403160305030001</v>
      </c>
      <c r="J1234" s="7" t="str">
        <f>IFERROR(__xludf.DUMMYFUNCTION("""COMPUTED_VALUE"""),"laodemuhammadalbar3@gmail.com")</f>
        <v>laodemuhammadalbar3@gmail.com</v>
      </c>
      <c r="K1234" s="6" t="str">
        <f>IFERROR(__xludf.DUMMYFUNCTION("""COMPUTED_VALUE"""),"Desa Waulai, Kecamatan Barangka, Kabupaten Muna Barat")</f>
        <v>Desa Waulai, Kecamatan Barangka, Kabupaten Muna Barat</v>
      </c>
      <c r="R1234" s="7" t="str">
        <f>IFERROR(__xludf.DUMMYFUNCTION("""COMPUTED_VALUE"""),"K")</f>
        <v>K</v>
      </c>
    </row>
    <row r="1235" ht="22.5" customHeight="1">
      <c r="A1235" s="6">
        <v>1234.0</v>
      </c>
      <c r="B1235" s="6" t="str">
        <f>IFERROR(__xludf.DUMMYFUNCTION("""COMPUTED_VALUE"""),"Analis Data (Data Analyst)")</f>
        <v>Analis Data (Data Analyst)</v>
      </c>
      <c r="F1235" s="6" t="str">
        <f>IFERROR(__xludf.DUMMYFUNCTION("""COMPUTED_VALUE"""),"Indah Sahara")</f>
        <v>Indah Sahara</v>
      </c>
      <c r="G1235" s="6" t="str">
        <f>IFERROR(__xludf.DUMMYFUNCTION("""COMPUTED_VALUE"""),"7408016503030001")</f>
        <v>7408016503030001</v>
      </c>
      <c r="J1235" s="7" t="str">
        <f>IFERROR(__xludf.DUMMYFUNCTION("""COMPUTED_VALUE"""),"PEREMPUAN")</f>
        <v>PEREMPUAN</v>
      </c>
      <c r="K1235" s="6" t="str">
        <f>IFERROR(__xludf.DUMMYFUNCTION("""COMPUTED_VALUE"""),"Jl. Tomagellang, Kel. Lasusua, Kec. Lasusua")</f>
        <v>Jl. Tomagellang, Kel. Lasusua, Kec. Lasusua</v>
      </c>
      <c r="R1235" s="7" t="str">
        <f>IFERROR(__xludf.DUMMYFUNCTION("""COMPUTED_VALUE"""),"K")</f>
        <v>K</v>
      </c>
    </row>
    <row r="1236" ht="22.5" customHeight="1">
      <c r="A1236" s="6">
        <v>1235.0</v>
      </c>
      <c r="B1236" s="6" t="str">
        <f>IFERROR(__xludf.DUMMYFUNCTION("""COMPUTED_VALUE"""),"Analis Data (Data Analyst)")</f>
        <v>Analis Data (Data Analyst)</v>
      </c>
      <c r="F1236" s="6" t="str">
        <f>IFERROR(__xludf.DUMMYFUNCTION("""COMPUTED_VALUE"""),"Yuzni Oktavianti")</f>
        <v>Yuzni Oktavianti</v>
      </c>
      <c r="G1236" s="6" t="str">
        <f>IFERROR(__xludf.DUMMYFUNCTION("""COMPUTED_VALUE"""),"7403194110040001")</f>
        <v>7403194110040001</v>
      </c>
      <c r="J1236" s="7" t="str">
        <f>IFERROR(__xludf.DUMMYFUNCTION("""COMPUTED_VALUE"""),"PEREMPUAN")</f>
        <v>PEREMPUAN</v>
      </c>
      <c r="K1236" s="6" t="str">
        <f>IFERROR(__xludf.DUMMYFUNCTION("""COMPUTED_VALUE"""),"Kel. Dana, Kec. Watopute, Kab. Muna")</f>
        <v>Kel. Dana, Kec. Watopute, Kab. Muna</v>
      </c>
      <c r="R1236" s="7" t="str">
        <f>IFERROR(__xludf.DUMMYFUNCTION("""COMPUTED_VALUE"""),"K")</f>
        <v>K</v>
      </c>
    </row>
    <row r="1237" ht="22.5" customHeight="1">
      <c r="A1237" s="6">
        <v>1236.0</v>
      </c>
      <c r="B1237" s="6" t="str">
        <f>IFERROR(__xludf.DUMMYFUNCTION("""COMPUTED_VALUE"""),"Analis Data (Data Analyst)")</f>
        <v>Analis Data (Data Analyst)</v>
      </c>
      <c r="F1237" s="6" t="str">
        <f>IFERROR(__xludf.DUMMYFUNCTION("""COMPUTED_VALUE"""),"MEI IMELIA ")</f>
        <v>MEI IMELIA </v>
      </c>
      <c r="G1237" s="6" t="str">
        <f>IFERROR(__xludf.DUMMYFUNCTION("""COMPUTED_VALUE"""),"7472044305040001")</f>
        <v>7472044305040001</v>
      </c>
      <c r="J1237" s="7" t="str">
        <f>IFERROR(__xludf.DUMMYFUNCTION("""COMPUTED_VALUE"""),"PEREMPUAN")</f>
        <v>PEREMPUAN</v>
      </c>
      <c r="K1237" s="6" t="str">
        <f>IFERROR(__xludf.DUMMYFUNCTION("""COMPUTED_VALUE"""),"Lingkungan Topa, Kelurahan Lowu-Lowu, Kecamatan Lea-Lea, Kota Baubau")</f>
        <v>Lingkungan Topa, Kelurahan Lowu-Lowu, Kecamatan Lea-Lea, Kota Baubau</v>
      </c>
      <c r="R1237" s="7" t="str">
        <f>IFERROR(__xludf.DUMMYFUNCTION("""COMPUTED_VALUE"""),"K")</f>
        <v>K</v>
      </c>
    </row>
    <row r="1238" ht="22.5" customHeight="1">
      <c r="A1238" s="6">
        <v>1237.0</v>
      </c>
      <c r="B1238" s="6" t="str">
        <f>IFERROR(__xludf.DUMMYFUNCTION("""COMPUTED_VALUE"""),"Analis Data (Data Analyst)")</f>
        <v>Analis Data (Data Analyst)</v>
      </c>
      <c r="F1238" s="6" t="str">
        <f>IFERROR(__xludf.DUMMYFUNCTION("""COMPUTED_VALUE"""),"NURUL HAYYU FADILLAH")</f>
        <v>NURUL HAYYU FADILLAH</v>
      </c>
      <c r="G1238" s="6" t="str">
        <f>IFERROR(__xludf.DUMMYFUNCTION("""COMPUTED_VALUE"""),"7472066506040002")</f>
        <v>7472066506040002</v>
      </c>
      <c r="J1238" s="7" t="str">
        <f>IFERROR(__xludf.DUMMYFUNCTION("""COMPUTED_VALUE"""),"PEREMPUAN")</f>
        <v>PEREMPUAN</v>
      </c>
      <c r="K1238" s="6" t="str">
        <f>IFERROR(__xludf.DUMMYFUNCTION("""COMPUTED_VALUE"""),"JL. BETOAMBARI, KEL. BONE-BONE, KEC. BATUPOARO")</f>
        <v>JL. BETOAMBARI, KEL. BONE-BONE, KEC. BATUPOARO</v>
      </c>
      <c r="R1238" s="7" t="str">
        <f>IFERROR(__xludf.DUMMYFUNCTION("""COMPUTED_VALUE"""),"K")</f>
        <v>K</v>
      </c>
    </row>
    <row r="1239" ht="22.5" customHeight="1">
      <c r="A1239" s="6">
        <v>1238.0</v>
      </c>
      <c r="B1239" s="6" t="str">
        <f>IFERROR(__xludf.DUMMYFUNCTION("""COMPUTED_VALUE"""),"Analis Data (Data Analyst)")</f>
        <v>Analis Data (Data Analyst)</v>
      </c>
      <c r="F1239" s="6" t="str">
        <f>IFERROR(__xludf.DUMMYFUNCTION("""COMPUTED_VALUE"""),"Sherina Afrisya")</f>
        <v>Sherina Afrisya</v>
      </c>
      <c r="G1239" s="6" t="str">
        <f>IFERROR(__xludf.DUMMYFUNCTION("""COMPUTED_VALUE"""),"7405025706030003")</f>
        <v>7405025706030003</v>
      </c>
      <c r="J1239" s="7" t="str">
        <f>IFERROR(__xludf.DUMMYFUNCTION("""COMPUTED_VALUE"""),"PEREMPUAN")</f>
        <v>PEREMPUAN</v>
      </c>
      <c r="K1239" s="6" t="str">
        <f>IFERROR(__xludf.DUMMYFUNCTION("""COMPUTED_VALUE"""),"Jln. Motaha - Lambuya, Desa Motaha")</f>
        <v>Jln. Motaha - Lambuya, Desa Motaha</v>
      </c>
      <c r="R1239" s="7" t="str">
        <f>IFERROR(__xludf.DUMMYFUNCTION("""COMPUTED_VALUE"""),"K")</f>
        <v>K</v>
      </c>
    </row>
    <row r="1240" ht="22.5" customHeight="1">
      <c r="A1240" s="6">
        <v>1239.0</v>
      </c>
      <c r="B1240" s="6" t="str">
        <f>IFERROR(__xludf.DUMMYFUNCTION("""COMPUTED_VALUE"""),"Analis Data (Data Analyst)")</f>
        <v>Analis Data (Data Analyst)</v>
      </c>
      <c r="F1240" s="6" t="str">
        <f>IFERROR(__xludf.DUMMYFUNCTION("""COMPUTED_VALUE"""),"FIRDA")</f>
        <v>FIRDA</v>
      </c>
      <c r="G1240" s="6" t="str">
        <f>IFERROR(__xludf.DUMMYFUNCTION("""COMPUTED_VALUE"""),"7402045101040001")</f>
        <v>7402045101040001</v>
      </c>
      <c r="J1240" s="7" t="str">
        <f>IFERROR(__xludf.DUMMYFUNCTION("""COMPUTED_VALUE"""),"PEREMPUAN")</f>
        <v>PEREMPUAN</v>
      </c>
      <c r="K1240" s="6" t="str">
        <f>IFERROR(__xludf.DUMMYFUNCTION("""COMPUTED_VALUE"""),"Desa Lalonggotomi, Kec. Pondidaha, Kab. Konawe")</f>
        <v>Desa Lalonggotomi, Kec. Pondidaha, Kab. Konawe</v>
      </c>
      <c r="R1240" s="7" t="str">
        <f>IFERROR(__xludf.DUMMYFUNCTION("""COMPUTED_VALUE"""),"K")</f>
        <v>K</v>
      </c>
    </row>
    <row r="1241" ht="22.5" customHeight="1">
      <c r="A1241" s="6">
        <v>1240.0</v>
      </c>
      <c r="B1241" s="6" t="str">
        <f>IFERROR(__xludf.DUMMYFUNCTION("""COMPUTED_VALUE"""),"Petugas Keselematan dan Kesehatan Kerja")</f>
        <v>Petugas Keselematan dan Kesehatan Kerja</v>
      </c>
      <c r="F1241" s="6" t="str">
        <f>IFERROR(__xludf.DUMMYFUNCTION("""COMPUTED_VALUE"""),"ANDRIANTO TORE")</f>
        <v>ANDRIANTO TORE</v>
      </c>
      <c r="G1241" s="6" t="str">
        <f>IFERROR(__xludf.DUMMYFUNCTION("""COMPUTED_VALUE"""),"7317040406020001")</f>
        <v>7317040406020001</v>
      </c>
      <c r="J1241" s="7" t="str">
        <f>IFERROR(__xludf.DUMMYFUNCTION("""COMPUTED_VALUE"""),"LAKI-LAKI")</f>
        <v>LAKI-LAKI</v>
      </c>
      <c r="K1241" s="6" t="str">
        <f>IFERROR(__xludf.DUMMYFUNCTION("""COMPUTED_VALUE"""),"Dsn Mappolo, RT/RW 002/005, Dsa Sampa, Kec. Bajo, Kab. Luwu, Prov. Sulawesi Selatan")</f>
        <v>Dsn Mappolo, RT/RW 002/005, Dsa Sampa, Kec. Bajo, Kab. Luwu, Prov. Sulawesi Selatan</v>
      </c>
      <c r="R1241" s="7" t="str">
        <f>IFERROR(__xludf.DUMMYFUNCTION("""COMPUTED_VALUE"""),"K")</f>
        <v>K</v>
      </c>
    </row>
    <row r="1242" ht="22.5" customHeight="1">
      <c r="A1242" s="6">
        <v>1241.0</v>
      </c>
      <c r="B1242" s="6" t="str">
        <f>IFERROR(__xludf.DUMMYFUNCTION("""COMPUTED_VALUE"""),"Petugas Keselematan dan Kesehatan Kerja")</f>
        <v>Petugas Keselematan dan Kesehatan Kerja</v>
      </c>
      <c r="F1242" s="6" t="str">
        <f>IFERROR(__xludf.DUMMYFUNCTION("""COMPUTED_VALUE"""),"elfira ayu")</f>
        <v>elfira ayu</v>
      </c>
      <c r="G1242" s="6" t="str">
        <f>IFERROR(__xludf.DUMMYFUNCTION("""COMPUTED_VALUE"""),"7404054210020003")</f>
        <v>7404054210020003</v>
      </c>
      <c r="J1242" s="7" t="str">
        <f>IFERROR(__xludf.DUMMYFUNCTION("""COMPUTED_VALUE"""),"PEREMPUAN")</f>
        <v>PEREMPUAN</v>
      </c>
      <c r="K1242" s="6" t="str">
        <f>IFERROR(__xludf.DUMMYFUNCTION("""COMPUTED_VALUE"""),"desa kanapa-napa kecamatan mawasangka kabupaten buton tengah ")</f>
        <v>desa kanapa-napa kecamatan mawasangka kabupaten buton tengah </v>
      </c>
      <c r="R1242" s="7" t="str">
        <f>IFERROR(__xludf.DUMMYFUNCTION("""COMPUTED_VALUE"""),"K")</f>
        <v>K</v>
      </c>
    </row>
    <row r="1243" ht="22.5" customHeight="1">
      <c r="A1243" s="6">
        <v>1242.0</v>
      </c>
      <c r="B1243" s="6" t="str">
        <f>IFERROR(__xludf.DUMMYFUNCTION("""COMPUTED_VALUE"""),"Petugas Keselematan dan Kesehatan Kerja")</f>
        <v>Petugas Keselematan dan Kesehatan Kerja</v>
      </c>
      <c r="F1243" s="6" t="str">
        <f>IFERROR(__xludf.DUMMYFUNCTION("""COMPUTED_VALUE"""),"Ahmad Ismail")</f>
        <v>Ahmad Ismail</v>
      </c>
      <c r="G1243" s="6" t="str">
        <f>IFERROR(__xludf.DUMMYFUNCTION("""COMPUTED_VALUE"""),"7408062805020002")</f>
        <v>7408062805020002</v>
      </c>
      <c r="J1243" s="7" t="str">
        <f>IFERROR(__xludf.DUMMYFUNCTION("""COMPUTED_VALUE"""),"LAKI-LAKI")</f>
        <v>LAKI-LAKI</v>
      </c>
      <c r="K1243" s="6" t="str">
        <f>IFERROR(__xludf.DUMMYFUNCTION("""COMPUTED_VALUE"""),"Desa Mataiwoi, Kecamatan Ngapa, Kabupaten Kolaka Utara.")</f>
        <v>Desa Mataiwoi, Kecamatan Ngapa, Kabupaten Kolaka Utara.</v>
      </c>
      <c r="R1243" s="7" t="str">
        <f>IFERROR(__xludf.DUMMYFUNCTION("""COMPUTED_VALUE"""),"K")</f>
        <v>K</v>
      </c>
    </row>
    <row r="1244" ht="22.5" customHeight="1">
      <c r="A1244" s="6">
        <v>1243.0</v>
      </c>
      <c r="B1244" s="6" t="str">
        <f>IFERROR(__xludf.DUMMYFUNCTION("""COMPUTED_VALUE"""),"Petugas Keselematan dan Kesehatan Kerja")</f>
        <v>Petugas Keselematan dan Kesehatan Kerja</v>
      </c>
      <c r="F1244" s="6" t="str">
        <f>IFERROR(__xludf.DUMMYFUNCTION("""COMPUTED_VALUE"""),"TETA DWI KUSUMA")</f>
        <v>TETA DWI KUSUMA</v>
      </c>
      <c r="G1244" s="6" t="str">
        <f>IFERROR(__xludf.DUMMYFUNCTION("""COMPUTED_VALUE"""),"7471103003020001")</f>
        <v>7471103003020001</v>
      </c>
      <c r="J1244" s="7" t="str">
        <f>IFERROR(__xludf.DUMMYFUNCTION("""COMPUTED_VALUE"""),"LAKI-LAKI")</f>
        <v>LAKI-LAKI</v>
      </c>
      <c r="K1244" s="6" t="str">
        <f>IFERROR(__xludf.DUMMYFUNCTION("""COMPUTED_VALUE"""),"Jln orinunggu lrg btn medibrata")</f>
        <v>Jln orinunggu lrg btn medibrata</v>
      </c>
      <c r="R1244" s="7" t="str">
        <f>IFERROR(__xludf.DUMMYFUNCTION("""COMPUTED_VALUE"""),"BK")</f>
        <v>BK</v>
      </c>
    </row>
    <row r="1245" ht="22.5" customHeight="1">
      <c r="A1245" s="6">
        <v>1244.0</v>
      </c>
      <c r="B1245" s="6" t="str">
        <f>IFERROR(__xludf.DUMMYFUNCTION("""COMPUTED_VALUE"""),"Petugas Keselematan dan Kesehatan Kerja")</f>
        <v>Petugas Keselematan dan Kesehatan Kerja</v>
      </c>
      <c r="F1245" s="6" t="str">
        <f>IFERROR(__xludf.DUMMYFUNCTION("""COMPUTED_VALUE"""),"Egisal")</f>
        <v>Egisal</v>
      </c>
      <c r="G1245" s="6" t="str">
        <f>IFERROR(__xludf.DUMMYFUNCTION("""COMPUTED_VALUE"""),"7405100407040001")</f>
        <v>7405100407040001</v>
      </c>
      <c r="J1245" s="7" t="str">
        <f>IFERROR(__xludf.DUMMYFUNCTION("""COMPUTED_VALUE"""),"LAKI-LAKI")</f>
        <v>LAKI-LAKI</v>
      </c>
      <c r="K1245" s="6" t="str">
        <f>IFERROR(__xludf.DUMMYFUNCTION("""COMPUTED_VALUE"""),"Amohola")</f>
        <v>Amohola</v>
      </c>
      <c r="R1245" s="7" t="str">
        <f>IFERROR(__xludf.DUMMYFUNCTION("""COMPUTED_VALUE"""),"K")</f>
        <v>K</v>
      </c>
    </row>
    <row r="1246" ht="22.5" customHeight="1">
      <c r="A1246" s="6">
        <v>1245.0</v>
      </c>
      <c r="B1246" s="6" t="str">
        <f>IFERROR(__xludf.DUMMYFUNCTION("""COMPUTED_VALUE"""),"Petugas Keselematan dan Kesehatan Kerja")</f>
        <v>Petugas Keselematan dan Kesehatan Kerja</v>
      </c>
      <c r="F1246" s="6" t="str">
        <f>IFERROR(__xludf.DUMMYFUNCTION("""COMPUTED_VALUE"""),"Mirnawati")</f>
        <v>Mirnawati</v>
      </c>
      <c r="G1246" s="6" t="str">
        <f>IFERROR(__xludf.DUMMYFUNCTION("""COMPUTED_VALUE"""),"7404224309990001")</f>
        <v>7404224309990001</v>
      </c>
      <c r="J1246" s="7" t="str">
        <f>IFERROR(__xludf.DUMMYFUNCTION("""COMPUTED_VALUE"""),"PEREMPUAN")</f>
        <v>PEREMPUAN</v>
      </c>
      <c r="K1246" s="6" t="str">
        <f>IFERROR(__xludf.DUMMYFUNCTION("""COMPUTED_VALUE"""),"Asri Mulya RT/RW 000, Desa Bukit Asri, Kec. Kapontori, Kab. Buton, SULAWESI TENGGARA")</f>
        <v>Asri Mulya RT/RW 000, Desa Bukit Asri, Kec. Kapontori, Kab. Buton, SULAWESI TENGGARA</v>
      </c>
      <c r="R1246" s="7" t="str">
        <f>IFERROR(__xludf.DUMMYFUNCTION("""COMPUTED_VALUE"""),"BK")</f>
        <v>BK</v>
      </c>
    </row>
    <row r="1247" ht="22.5" customHeight="1">
      <c r="A1247" s="6">
        <v>1246.0</v>
      </c>
      <c r="B1247" s="6" t="str">
        <f>IFERROR(__xludf.DUMMYFUNCTION("""COMPUTED_VALUE"""),"Pelayanan Pelanggan")</f>
        <v>Pelayanan Pelanggan</v>
      </c>
      <c r="F1247" s="6" t="str">
        <f>IFERROR(__xludf.DUMMYFUNCTION("""COMPUTED_VALUE"""),"Nursyifa Zahra")</f>
        <v>Nursyifa Zahra</v>
      </c>
      <c r="G1247" s="6" t="str">
        <f>IFERROR(__xludf.DUMMYFUNCTION("""COMPUTED_VALUE"""),"7406046903040001")</f>
        <v>7406046903040001</v>
      </c>
      <c r="J1247" s="7" t="str">
        <f>IFERROR(__xludf.DUMMYFUNCTION("""COMPUTED_VALUE"""),"PEREMPUAN")</f>
        <v>PEREMPUAN</v>
      </c>
      <c r="K1247" s="6" t="str">
        <f>IFERROR(__xludf.DUMMYFUNCTION("""COMPUTED_VALUE"""),"Jl balaikota III indah")</f>
        <v>Jl balaikota III indah</v>
      </c>
      <c r="R1247" s="7" t="str">
        <f>IFERROR(__xludf.DUMMYFUNCTION("""COMPUTED_VALUE"""),"K")</f>
        <v>K</v>
      </c>
    </row>
    <row r="1248" ht="22.5" customHeight="1">
      <c r="A1248" s="6">
        <v>1247.0</v>
      </c>
      <c r="B1248" s="6" t="str">
        <f>IFERROR(__xludf.DUMMYFUNCTION("""COMPUTED_VALUE"""),"Pelayanan Pelanggan")</f>
        <v>Pelayanan Pelanggan</v>
      </c>
      <c r="F1248" s="6" t="str">
        <f>IFERROR(__xludf.DUMMYFUNCTION("""COMPUTED_VALUE"""),"Fajri Al Ghifari")</f>
        <v>Fajri Al Ghifari</v>
      </c>
      <c r="G1248" s="6" t="str">
        <f>IFERROR(__xludf.DUMMYFUNCTION("""COMPUTED_VALUE"""),"7471082205030001")</f>
        <v>7471082205030001</v>
      </c>
      <c r="J1248" s="7" t="str">
        <f>IFERROR(__xludf.DUMMYFUNCTION("""COMPUTED_VALUE"""),"LAKI-LAKI")</f>
        <v>LAKI-LAKI</v>
      </c>
      <c r="K1248" s="6" t="str">
        <f>IFERROR(__xludf.DUMMYFUNCTION("""COMPUTED_VALUE"""),"Jl.Sorumba Lr.Kelapa Kuning No.20")</f>
        <v>Jl.Sorumba Lr.Kelapa Kuning No.20</v>
      </c>
      <c r="R1248" s="7" t="str">
        <f>IFERROR(__xludf.DUMMYFUNCTION("""COMPUTED_VALUE"""),"K")</f>
        <v>K</v>
      </c>
    </row>
    <row r="1249" ht="22.5" customHeight="1">
      <c r="A1249" s="6">
        <v>1248.0</v>
      </c>
      <c r="B1249" s="6" t="str">
        <f>IFERROR(__xludf.DUMMYFUNCTION("""COMPUTED_VALUE"""),"Asisten Pengembangan Web (Assistant Web Developer)")</f>
        <v>Asisten Pengembangan Web (Assistant Web Developer)</v>
      </c>
      <c r="F1249" s="6" t="str">
        <f>IFERROR(__xludf.DUMMYFUNCTION("""COMPUTED_VALUE"""),"Sitti May Akhir")</f>
        <v>Sitti May Akhir</v>
      </c>
      <c r="G1249" s="6" t="str">
        <f>IFERROR(__xludf.DUMMYFUNCTION("""COMPUTED_VALUE"""),"7471086205030001")</f>
        <v>7471086205030001</v>
      </c>
      <c r="J1249" s="7" t="str">
        <f>IFERROR(__xludf.DUMMYFUNCTION("""COMPUTED_VALUE"""),"PEREMPUAN")</f>
        <v>PEREMPUAN</v>
      </c>
      <c r="K1249" s="6" t="str">
        <f>IFERROR(__xludf.DUMMYFUNCTION("""COMPUTED_VALUE"""),"jalan rambutan")</f>
        <v>jalan rambutan</v>
      </c>
      <c r="R1249" s="7" t="str">
        <f>IFERROR(__xludf.DUMMYFUNCTION("""COMPUTED_VALUE"""),"K")</f>
        <v>K</v>
      </c>
    </row>
    <row r="1250" ht="22.5" customHeight="1">
      <c r="A1250" s="6">
        <v>1249.0</v>
      </c>
      <c r="B1250" s="6" t="str">
        <f>IFERROR(__xludf.DUMMYFUNCTION("""COMPUTED_VALUE"""),"Petugas Keselematan dan Kesehatan Kerja")</f>
        <v>Petugas Keselematan dan Kesehatan Kerja</v>
      </c>
      <c r="F1250" s="6" t="str">
        <f>IFERROR(__xludf.DUMMYFUNCTION("""COMPUTED_VALUE"""),"Aldi Tri Setiawan Tasrif ")</f>
        <v>Aldi Tri Setiawan Tasrif </v>
      </c>
      <c r="G1250" s="6" t="str">
        <f>IFERROR(__xludf.DUMMYFUNCTION("""COMPUTED_VALUE"""),"7404080305030001")</f>
        <v>7404080305030001</v>
      </c>
      <c r="J1250" s="7" t="str">
        <f>IFERROR(__xludf.DUMMYFUNCTION("""COMPUTED_VALUE"""),"LAKI-LAKI")</f>
        <v>LAKI-LAKI</v>
      </c>
      <c r="K1250" s="6" t="str">
        <f>IFERROR(__xludf.DUMMYFUNCTION("""COMPUTED_VALUE"""),"Kel. Watulea, Kec. Gu, Kab. Buton Tengah, Sulawesi Tenggara ")</f>
        <v>Kel. Watulea, Kec. Gu, Kab. Buton Tengah, Sulawesi Tenggara </v>
      </c>
      <c r="R1250" s="7" t="str">
        <f>IFERROR(__xludf.DUMMYFUNCTION("""COMPUTED_VALUE"""),"K")</f>
        <v>K</v>
      </c>
    </row>
    <row r="1251" ht="22.5" customHeight="1">
      <c r="A1251" s="6">
        <v>1250.0</v>
      </c>
      <c r="B1251" s="6" t="str">
        <f>IFERROR(__xludf.DUMMYFUNCTION("""COMPUTED_VALUE"""),"Petugas Keselematan dan Kesehatan Kerja")</f>
        <v>Petugas Keselematan dan Kesehatan Kerja</v>
      </c>
      <c r="F1251" s="6" t="str">
        <f>IFERROR(__xludf.DUMMYFUNCTION("""COMPUTED_VALUE"""),"Mustari")</f>
        <v>Mustari</v>
      </c>
      <c r="G1251" s="6" t="str">
        <f>IFERROR(__xludf.DUMMYFUNCTION("""COMPUTED_VALUE"""),"7407053001040003")</f>
        <v>7407053001040003</v>
      </c>
      <c r="J1251" s="7" t="str">
        <f>IFERROR(__xludf.DUMMYFUNCTION("""COMPUTED_VALUE"""),"LAKI-LAKI")</f>
        <v>LAKI-LAKI</v>
      </c>
      <c r="K1251" s="6" t="str">
        <f>IFERROR(__xludf.DUMMYFUNCTION("""COMPUTED_VALUE"""),"Mina bahari, desa mola nelayan bakti, kec. Wangi-wangi selatan")</f>
        <v>Mina bahari, desa mola nelayan bakti, kec. Wangi-wangi selatan</v>
      </c>
      <c r="R1251" s="7" t="str">
        <f>IFERROR(__xludf.DUMMYFUNCTION("""COMPUTED_VALUE"""),"BK")</f>
        <v>BK</v>
      </c>
    </row>
    <row r="1252" ht="22.5" customHeight="1">
      <c r="A1252" s="6">
        <v>1251.0</v>
      </c>
      <c r="B1252" s="6" t="str">
        <f>IFERROR(__xludf.DUMMYFUNCTION("""COMPUTED_VALUE"""),"Petugas Keselematan dan Kesehatan Kerja")</f>
        <v>Petugas Keselematan dan Kesehatan Kerja</v>
      </c>
      <c r="F1252" s="6" t="str">
        <f>IFERROR(__xludf.DUMMYFUNCTION("""COMPUTED_VALUE"""),"Herlin")</f>
        <v>Herlin</v>
      </c>
      <c r="G1252" s="6" t="str">
        <f>IFERROR(__xludf.DUMMYFUNCTION("""COMPUTED_VALUE"""),"7404231609030001")</f>
        <v>7404231609030001</v>
      </c>
      <c r="J1252" s="7" t="str">
        <f>IFERROR(__xludf.DUMMYFUNCTION("""COMPUTED_VALUE"""),"PEREMPUAN")</f>
        <v>PEREMPUAN</v>
      </c>
      <c r="K1252" s="6" t="str">
        <f>IFERROR(__xludf.DUMMYFUNCTION("""COMPUTED_VALUE""")," Jl. Jend. Ahmad Yani, Anawai, Kec. Wua-Wua, Kota Kendari, Sulawesi Tenggara")</f>
        <v> Jl. Jend. Ahmad Yani, Anawai, Kec. Wua-Wua, Kota Kendari, Sulawesi Tenggara</v>
      </c>
      <c r="R1252" s="7" t="str">
        <f>IFERROR(__xludf.DUMMYFUNCTION("""COMPUTED_VALUE"""),"K")</f>
        <v>K</v>
      </c>
    </row>
    <row r="1253" ht="22.5" customHeight="1">
      <c r="A1253" s="6">
        <v>1252.0</v>
      </c>
      <c r="B1253" s="6" t="str">
        <f>IFERROR(__xludf.DUMMYFUNCTION("""COMPUTED_VALUE"""),"Pengelolaan Administrasi Perkantoraan")</f>
        <v>Pengelolaan Administrasi Perkantoraan</v>
      </c>
      <c r="F1253" s="6" t="str">
        <f>IFERROR(__xludf.DUMMYFUNCTION("""COMPUTED_VALUE"""),"DEA AZHARI")</f>
        <v>DEA AZHARI</v>
      </c>
      <c r="G1253" s="6" t="str">
        <f>IFERROR(__xludf.DUMMYFUNCTION("""COMPUTED_VALUE"""),"7405014612030002")</f>
        <v>7405014612030002</v>
      </c>
      <c r="J1253" s="7" t="str">
        <f>IFERROR(__xludf.DUMMYFUNCTION("""COMPUTED_VALUE"""),"PEREMPUAN")</f>
        <v>PEREMPUAN</v>
      </c>
      <c r="K1253" s="6" t="str">
        <f>IFERROR(__xludf.DUMMYFUNCTION("""COMPUTED_VALUE"""),"Desa Asingi Kecamatan Tinanggea")</f>
        <v>Desa Asingi Kecamatan Tinanggea</v>
      </c>
      <c r="R1253" s="7" t="str">
        <f>IFERROR(__xludf.DUMMYFUNCTION("""COMPUTED_VALUE"""),"K")</f>
        <v>K</v>
      </c>
    </row>
    <row r="1254" ht="22.5" customHeight="1">
      <c r="A1254" s="6">
        <v>1253.0</v>
      </c>
      <c r="B1254" s="6" t="str">
        <f>IFERROR(__xludf.DUMMYFUNCTION("""COMPUTED_VALUE"""),"Pengelolaan Administrasi Perkantoraan")</f>
        <v>Pengelolaan Administrasi Perkantoraan</v>
      </c>
      <c r="F1254" s="6" t="str">
        <f>IFERROR(__xludf.DUMMYFUNCTION("""COMPUTED_VALUE"""),"Hashimatul Zaria")</f>
        <v>Hashimatul Zaria</v>
      </c>
      <c r="G1254" s="6" t="str">
        <f>IFERROR(__xludf.DUMMYFUNCTION("""COMPUTED_VALUE"""),"7403226107030001")</f>
        <v>7403226107030001</v>
      </c>
      <c r="J1254" s="7" t="str">
        <f>IFERROR(__xludf.DUMMYFUNCTION("""COMPUTED_VALUE"""),"PEREMPUAN")</f>
        <v>PEREMPUAN</v>
      </c>
      <c r="K1254" s="6" t="str">
        <f>IFERROR(__xludf.DUMMYFUNCTION("""COMPUTED_VALUE"""),"Kelurahan Tombula")</f>
        <v>Kelurahan Tombula</v>
      </c>
      <c r="R1254" s="7" t="str">
        <f>IFERROR(__xludf.DUMMYFUNCTION("""COMPUTED_VALUE"""),"K")</f>
        <v>K</v>
      </c>
    </row>
    <row r="1255" ht="22.5" customHeight="1">
      <c r="A1255" s="6">
        <v>1254.0</v>
      </c>
      <c r="B1255" s="6" t="str">
        <f>IFERROR(__xludf.DUMMYFUNCTION("""COMPUTED_VALUE"""),"Pelayanan Pelanggan")</f>
        <v>Pelayanan Pelanggan</v>
      </c>
      <c r="F1255" s="6" t="str">
        <f>IFERROR(__xludf.DUMMYFUNCTION("""COMPUTED_VALUE"""),"Risna Ningsih Sardin ")</f>
        <v>Risna Ningsih Sardin </v>
      </c>
      <c r="G1255" s="6" t="str">
        <f>IFERROR(__xludf.DUMMYFUNCTION("""COMPUTED_VALUE"""),"7405016707030003")</f>
        <v>7405016707030003</v>
      </c>
      <c r="J1255" s="7" t="str">
        <f>IFERROR(__xludf.DUMMYFUNCTION("""COMPUTED_VALUE"""),"PEREMPUAN")</f>
        <v>PEREMPUAN</v>
      </c>
      <c r="K1255" s="6" t="str">
        <f>IFERROR(__xludf.DUMMYFUNCTION("""COMPUTED_VALUE"""),"Desa Lalonggasu, Kec. Tinanggea")</f>
        <v>Desa Lalonggasu, Kec. Tinanggea</v>
      </c>
      <c r="R1255" s="7" t="str">
        <f>IFERROR(__xludf.DUMMYFUNCTION("""COMPUTED_VALUE"""),"K")</f>
        <v>K</v>
      </c>
    </row>
    <row r="1256" ht="22.5" customHeight="1">
      <c r="A1256" s="6">
        <v>1255.0</v>
      </c>
      <c r="B1256" s="6" t="str">
        <f>IFERROR(__xludf.DUMMYFUNCTION("""COMPUTED_VALUE"""),"Asisten Pembuat Pakaian")</f>
        <v>Asisten Pembuat Pakaian</v>
      </c>
      <c r="F1256" s="6" t="str">
        <f>IFERROR(__xludf.DUMMYFUNCTION("""COMPUTED_VALUE"""),"CINTA RAHMAWATI")</f>
        <v>CINTA RAHMAWATI</v>
      </c>
      <c r="G1256" s="6" t="str">
        <f>IFERROR(__xludf.DUMMYFUNCTION("""COMPUTED_VALUE"""),"7405176905040001")</f>
        <v>7405176905040001</v>
      </c>
      <c r="J1256" s="7" t="str">
        <f>IFERROR(__xludf.DUMMYFUNCTION("""COMPUTED_VALUE"""),"PEREMPUAN")</f>
        <v>PEREMPUAN</v>
      </c>
      <c r="K1256" s="6" t="str">
        <f>IFERROR(__xludf.DUMMYFUNCTION("""COMPUTED_VALUE"""),"ANDUONOHU")</f>
        <v>ANDUONOHU</v>
      </c>
      <c r="R1256" s="7" t="str">
        <f>IFERROR(__xludf.DUMMYFUNCTION("""COMPUTED_VALUE"""),"K")</f>
        <v>K</v>
      </c>
    </row>
    <row r="1257" ht="22.5" customHeight="1">
      <c r="A1257" s="6">
        <v>1256.0</v>
      </c>
      <c r="B1257" s="6" t="str">
        <f>IFERROR(__xludf.DUMMYFUNCTION("""COMPUTED_VALUE"""),"Asisten Pembuat Pakaian")</f>
        <v>Asisten Pembuat Pakaian</v>
      </c>
      <c r="F1257" s="6" t="str">
        <f>IFERROR(__xludf.DUMMYFUNCTION("""COMPUTED_VALUE"""),"FARA DWI SURYANI")</f>
        <v>FARA DWI SURYANI</v>
      </c>
      <c r="G1257" s="6" t="str">
        <f>IFERROR(__xludf.DUMMYFUNCTION("""COMPUTED_VALUE"""),"7405174208080003")</f>
        <v>7405174208080003</v>
      </c>
      <c r="J1257" s="7" t="str">
        <f>IFERROR(__xludf.DUMMYFUNCTION("""COMPUTED_VALUE"""),"PEREMPUAN")</f>
        <v>PEREMPUAN</v>
      </c>
      <c r="K1257" s="6" t="str">
        <f>IFERROR(__xludf.DUMMYFUNCTION("""COMPUTED_VALUE"""),"DESA ANDOOLO UTAMA ")</f>
        <v>DESA ANDOOLO UTAMA </v>
      </c>
      <c r="R1257" s="7" t="str">
        <f>IFERROR(__xludf.DUMMYFUNCTION("""COMPUTED_VALUE"""),"K")</f>
        <v>K</v>
      </c>
    </row>
    <row r="1258" ht="22.5" customHeight="1">
      <c r="A1258" s="6">
        <v>1257.0</v>
      </c>
      <c r="B1258" s="6" t="str">
        <f>IFERROR(__xludf.DUMMYFUNCTION("""COMPUTED_VALUE"""),"Asisten Pembuat Pakaian")</f>
        <v>Asisten Pembuat Pakaian</v>
      </c>
      <c r="F1258" s="6" t="str">
        <f>IFERROR(__xludf.DUMMYFUNCTION("""COMPUTED_VALUE"""),"RIKI AFRIYANTI")</f>
        <v>RIKI AFRIYANTI</v>
      </c>
      <c r="G1258" s="6" t="str">
        <f>IFERROR(__xludf.DUMMYFUNCTION("""COMPUTED_VALUE"""),"7405151103000001 7405151103000001")</f>
        <v>7405151103000001 7405151103000001</v>
      </c>
      <c r="J1258" s="7" t="str">
        <f>IFERROR(__xludf.DUMMYFUNCTION("""COMPUTED_VALUE"""),"PEREMPUAN")</f>
        <v>PEREMPUAN</v>
      </c>
      <c r="K1258" s="6" t="str">
        <f>IFERROR(__xludf.DUMMYFUNCTION("""COMPUTED_VALUE"""),"DESA MATAIWOI,KEC MOWILA,KAB KONAWE SELATAN")</f>
        <v>DESA MATAIWOI,KEC MOWILA,KAB KONAWE SELATAN</v>
      </c>
      <c r="R1258" s="7" t="str">
        <f>IFERROR(__xludf.DUMMYFUNCTION("""COMPUTED_VALUE"""),"BK")</f>
        <v>BK</v>
      </c>
    </row>
    <row r="1259" ht="22.5" customHeight="1">
      <c r="A1259" s="6">
        <v>1258.0</v>
      </c>
      <c r="B1259" s="6" t="str">
        <f>IFERROR(__xludf.DUMMYFUNCTION("""COMPUTED_VALUE"""),"Asisten Pembuat Pakaian")</f>
        <v>Asisten Pembuat Pakaian</v>
      </c>
      <c r="F1259" s="6" t="str">
        <f>IFERROR(__xludf.DUMMYFUNCTION("""COMPUTED_VALUE"""),"SRI WAHYUNI")</f>
        <v>SRI WAHYUNI</v>
      </c>
      <c r="G1259" s="6" t="str">
        <f>IFERROR(__xludf.DUMMYFUNCTION("""COMPUTED_VALUE"""),"7405084308970001")</f>
        <v>7405084308970001</v>
      </c>
      <c r="J1259" s="7" t="str">
        <f>IFERROR(__xludf.DUMMYFUNCTION("""COMPUTED_VALUE"""),"PEREMPUAN")</f>
        <v>PEREMPUAN</v>
      </c>
      <c r="K1259" s="6" t="str">
        <f>IFERROR(__xludf.DUMMYFUNCTION("""COMPUTED_VALUE"""),"JL.HATI SUCI")</f>
        <v>JL.HATI SUCI</v>
      </c>
      <c r="R1259" s="7" t="str">
        <f>IFERROR(__xludf.DUMMYFUNCTION("""COMPUTED_VALUE"""),"BK")</f>
        <v>BK</v>
      </c>
    </row>
    <row r="1260" ht="22.5" customHeight="1">
      <c r="A1260" s="6">
        <v>1259.0</v>
      </c>
      <c r="B1260" s="6" t="str">
        <f>IFERROR(__xludf.DUMMYFUNCTION("""COMPUTED_VALUE"""),"Asisten Pembuat Pakaian")</f>
        <v>Asisten Pembuat Pakaian</v>
      </c>
      <c r="F1260" s="6" t="str">
        <f>IFERROR(__xludf.DUMMYFUNCTION("""COMPUTED_VALUE"""),"REVI ANDRIANI PUTRI ")</f>
        <v>REVI ANDRIANI PUTRI </v>
      </c>
      <c r="G1260" s="6" t="str">
        <f>IFERROR(__xludf.DUMMYFUNCTION("""COMPUTED_VALUE"""),"7405016709020001")</f>
        <v>7405016709020001</v>
      </c>
      <c r="J1260" s="7" t="str">
        <f>IFERROR(__xludf.DUMMYFUNCTION("""COMPUTED_VALUE"""),"PEREMPUAN")</f>
        <v>PEREMPUAN</v>
      </c>
      <c r="K1260" s="6" t="str">
        <f>IFERROR(__xludf.DUMMYFUNCTION("""COMPUTED_VALUE"""),"JL H BANAWULA SINAPOY, ANGGOEYA, POASIA ")</f>
        <v>JL H BANAWULA SINAPOY, ANGGOEYA, POASIA </v>
      </c>
      <c r="R1260" s="7" t="str">
        <f>IFERROR(__xludf.DUMMYFUNCTION("""COMPUTED_VALUE"""),"K")</f>
        <v>K</v>
      </c>
    </row>
    <row r="1261" ht="22.5" customHeight="1">
      <c r="A1261" s="6">
        <v>1260.0</v>
      </c>
      <c r="B1261" s="6" t="str">
        <f>IFERROR(__xludf.DUMMYFUNCTION("""COMPUTED_VALUE"""),"Asisten Pembuat Pakaian")</f>
        <v>Asisten Pembuat Pakaian</v>
      </c>
      <c r="F1261" s="6" t="str">
        <f>IFERROR(__xludf.DUMMYFUNCTION("""COMPUTED_VALUE"""),"SELA SILFIA")</f>
        <v>SELA SILFIA</v>
      </c>
      <c r="G1261" s="6" t="str">
        <f>IFERROR(__xludf.DUMMYFUNCTION("""COMPUTED_VALUE"""),"7405016004070001")</f>
        <v>7405016004070001</v>
      </c>
      <c r="J1261" s="7" t="str">
        <f>IFERROR(__xludf.DUMMYFUNCTION("""COMPUTED_VALUE"""),"PEREMPUAN")</f>
        <v>PEREMPUAN</v>
      </c>
      <c r="K1261" s="6" t="str">
        <f>IFERROR(__xludf.DUMMYFUNCTION("""COMPUTED_VALUE"""),"DESA WATUMELEWE, JALAN TENGGIRI")</f>
        <v>DESA WATUMELEWE, JALAN TENGGIRI</v>
      </c>
      <c r="R1261" s="7" t="str">
        <f>IFERROR(__xludf.DUMMYFUNCTION("""COMPUTED_VALUE"""),"K")</f>
        <v>K</v>
      </c>
    </row>
    <row r="1262" ht="22.5" customHeight="1">
      <c r="A1262" s="6">
        <v>1261.0</v>
      </c>
      <c r="B1262" s="6" t="str">
        <f>IFERROR(__xludf.DUMMYFUNCTION("""COMPUTED_VALUE"""),"Asisten Pembuat Pakaian")</f>
        <v>Asisten Pembuat Pakaian</v>
      </c>
      <c r="F1262" s="6" t="str">
        <f>IFERROR(__xludf.DUMMYFUNCTION("""COMPUTED_VALUE"""),"CHANTIKA")</f>
        <v>CHANTIKA</v>
      </c>
      <c r="G1262" s="6" t="str">
        <f>IFERROR(__xludf.DUMMYFUNCTION("""COMPUTED_VALUE"""),"7471036802080003")</f>
        <v>7471036802080003</v>
      </c>
      <c r="J1262" s="7" t="str">
        <f>IFERROR(__xludf.DUMMYFUNCTION("""COMPUTED_VALUE"""),"PEREMPUAN")</f>
        <v>PEREMPUAN</v>
      </c>
      <c r="K1262" s="6" t="str">
        <f>IFERROR(__xludf.DUMMYFUNCTION("""COMPUTED_VALUE"""),"BTN.PNS BLOK 41 NO.11")</f>
        <v>BTN.PNS BLOK 41 NO.11</v>
      </c>
      <c r="R1262" s="7" t="str">
        <f>IFERROR(__xludf.DUMMYFUNCTION("""COMPUTED_VALUE"""),"K")</f>
        <v>K</v>
      </c>
    </row>
    <row r="1263" ht="22.5" customHeight="1">
      <c r="A1263" s="6">
        <v>1262.0</v>
      </c>
      <c r="B1263" s="6" t="str">
        <f>IFERROR(__xludf.DUMMYFUNCTION("""COMPUTED_VALUE"""),"Asisten Pembuat Pakaian")</f>
        <v>Asisten Pembuat Pakaian</v>
      </c>
      <c r="F1263" s="6" t="str">
        <f>IFERROR(__xludf.DUMMYFUNCTION("""COMPUTED_VALUE"""),"NUR INTANG")</f>
        <v>NUR INTANG</v>
      </c>
      <c r="G1263" s="6" t="str">
        <f>IFERROR(__xludf.DUMMYFUNCTION("""COMPUTED_VALUE"""),"7401026410080001")</f>
        <v>7401026410080001</v>
      </c>
      <c r="J1263" s="7" t="str">
        <f>IFERROR(__xludf.DUMMYFUNCTION("""COMPUTED_VALUE"""),"PEREMPUAN")</f>
        <v>PEREMPUAN</v>
      </c>
      <c r="K1263" s="6" t="str">
        <f>IFERROR(__xludf.DUMMYFUNCTION("""COMPUTED_VALUE"""),"DUSUN. PALOSILAE")</f>
        <v>DUSUN. PALOSILAE</v>
      </c>
      <c r="R1263" s="7" t="str">
        <f>IFERROR(__xludf.DUMMYFUNCTION("""COMPUTED_VALUE"""),"K")</f>
        <v>K</v>
      </c>
    </row>
    <row r="1264" ht="22.5" customHeight="1">
      <c r="A1264" s="6">
        <v>1263.0</v>
      </c>
      <c r="B1264" s="6" t="str">
        <f>IFERROR(__xludf.DUMMYFUNCTION("""COMPUTED_VALUE"""),"Asisten Pembuat Pakaian")</f>
        <v>Asisten Pembuat Pakaian</v>
      </c>
      <c r="F1264" s="6" t="str">
        <f>IFERROR(__xludf.DUMMYFUNCTION("""COMPUTED_VALUE"""),"NUR HIDAYAH AFIDA")</f>
        <v>NUR HIDAYAH AFIDA</v>
      </c>
      <c r="G1264" s="6" t="str">
        <f>IFERROR(__xludf.DUMMYFUNCTION("""COMPUTED_VALUE"""),"7472064206080001")</f>
        <v>7472064206080001</v>
      </c>
      <c r="J1264" s="7" t="str">
        <f>IFERROR(__xludf.DUMMYFUNCTION("""COMPUTED_VALUE"""),"PEREMPUAN")</f>
        <v>PEREMPUAN</v>
      </c>
      <c r="K1264" s="6" t="str">
        <f>IFERROR(__xludf.DUMMYFUNCTION("""COMPUTED_VALUE"""),"JL. LA BUKE")</f>
        <v>JL. LA BUKE</v>
      </c>
      <c r="R1264" s="7" t="str">
        <f>IFERROR(__xludf.DUMMYFUNCTION("""COMPUTED_VALUE"""),"K")</f>
        <v>K</v>
      </c>
    </row>
    <row r="1265" ht="22.5" customHeight="1">
      <c r="A1265" s="6">
        <v>1264.0</v>
      </c>
      <c r="B1265" s="6" t="str">
        <f>IFERROR(__xludf.DUMMYFUNCTION("""COMPUTED_VALUE"""),"Asisten Pembuat Pakaian")</f>
        <v>Asisten Pembuat Pakaian</v>
      </c>
      <c r="F1265" s="6" t="str">
        <f>IFERROR(__xludf.DUMMYFUNCTION("""COMPUTED_VALUE"""),"ASMIRANDAH DG. SUCI")</f>
        <v>ASMIRANDAH DG. SUCI</v>
      </c>
      <c r="G1265" s="6" t="str">
        <f>IFERROR(__xludf.DUMMYFUNCTION("""COMPUTED_VALUE"""),"7471095906090001")</f>
        <v>7471095906090001</v>
      </c>
      <c r="J1265" s="7" t="str">
        <f>IFERROR(__xludf.DUMMYFUNCTION("""COMPUTED_VALUE"""),"PEREMPUAN")</f>
        <v>PEREMPUAN</v>
      </c>
      <c r="K1265" s="6" t="str">
        <f>IFERROR(__xludf.DUMMYFUNCTION("""COMPUTED_VALUE"""),"JL. JEND. A. YANI LR. ILMIAH")</f>
        <v>JL. JEND. A. YANI LR. ILMIAH</v>
      </c>
      <c r="R1265" s="7" t="str">
        <f>IFERROR(__xludf.DUMMYFUNCTION("""COMPUTED_VALUE"""),"K")</f>
        <v>K</v>
      </c>
    </row>
    <row r="1266" ht="22.5" customHeight="1">
      <c r="A1266" s="6">
        <v>1265.0</v>
      </c>
      <c r="B1266" s="6" t="str">
        <f>IFERROR(__xludf.DUMMYFUNCTION("""COMPUTED_VALUE"""),"Asisten Pembuat Pakaian")</f>
        <v>Asisten Pembuat Pakaian</v>
      </c>
      <c r="F1266" s="6" t="str">
        <f>IFERROR(__xludf.DUMMYFUNCTION("""COMPUTED_VALUE"""),"OLIVIA TRY WULANDARI.M ")</f>
        <v>OLIVIA TRY WULANDARI.M </v>
      </c>
      <c r="G1266" s="6" t="str">
        <f>IFERROR(__xludf.DUMMYFUNCTION("""COMPUTED_VALUE"""),"7405066506060001")</f>
        <v>7405066506060001</v>
      </c>
      <c r="J1266" s="7" t="str">
        <f>IFERROR(__xludf.DUMMYFUNCTION("""COMPUTED_VALUE"""),"PEREMPUAN")</f>
        <v>PEREMPUAN</v>
      </c>
      <c r="K1266" s="6" t="str">
        <f>IFERROR(__xludf.DUMMYFUNCTION("""COMPUTED_VALUE"""),"DESA PAMANDATI, RW 001, KECAMATAN LAINEA")</f>
        <v>DESA PAMANDATI, RW 001, KECAMATAN LAINEA</v>
      </c>
      <c r="R1266" s="7" t="str">
        <f>IFERROR(__xludf.DUMMYFUNCTION("""COMPUTED_VALUE"""),"K")</f>
        <v>K</v>
      </c>
    </row>
    <row r="1267" ht="22.5" customHeight="1">
      <c r="A1267" s="6">
        <v>1266.0</v>
      </c>
      <c r="B1267" s="6" t="str">
        <f>IFERROR(__xludf.DUMMYFUNCTION("""COMPUTED_VALUE"""),"Asisten Pembuat Pakaian")</f>
        <v>Asisten Pembuat Pakaian</v>
      </c>
      <c r="F1267" s="6" t="str">
        <f>IFERROR(__xludf.DUMMYFUNCTION("""COMPUTED_VALUE"""),"SITI HUMAIRAH")</f>
        <v>SITI HUMAIRAH</v>
      </c>
      <c r="G1267" s="6" t="str">
        <f>IFERROR(__xludf.DUMMYFUNCTION("""COMPUTED_VALUE"""),"7471024707080002")</f>
        <v>7471024707080002</v>
      </c>
      <c r="J1267" s="7" t="str">
        <f>IFERROR(__xludf.DUMMYFUNCTION("""COMPUTED_VALUE"""),"PEREMPUAN")</f>
        <v>PEREMPUAN</v>
      </c>
      <c r="K1267" s="6" t="str">
        <f>IFERROR(__xludf.DUMMYFUNCTION("""COMPUTED_VALUE"""),"Jl.akasia langi bajo")</f>
        <v>Jl.akasia langi bajo</v>
      </c>
      <c r="R1267" s="7" t="str">
        <f>IFERROR(__xludf.DUMMYFUNCTION("""COMPUTED_VALUE"""),"K")</f>
        <v>K</v>
      </c>
    </row>
    <row r="1268" ht="22.5" customHeight="1">
      <c r="A1268" s="6">
        <v>1267.0</v>
      </c>
      <c r="B1268" s="6" t="str">
        <f>IFERROR(__xludf.DUMMYFUNCTION("""COMPUTED_VALUE"""),"Asisten Pembuat Pakaian")</f>
        <v>Asisten Pembuat Pakaian</v>
      </c>
      <c r="F1268" s="6" t="str">
        <f>IFERROR(__xludf.DUMMYFUNCTION("""COMPUTED_VALUE"""),"ILIN ROSIANA")</f>
        <v>ILIN ROSIANA</v>
      </c>
      <c r="G1268" s="6">
        <f>IFERROR(__xludf.DUMMYFUNCTION("""COMPUTED_VALUE"""),7.37114410686001E15)</f>
        <v>7.37114E+15</v>
      </c>
      <c r="J1268" s="7" t="str">
        <f>IFERROR(__xludf.DUMMYFUNCTION("""COMPUTED_VALUE"""),"PEREMPUAN")</f>
        <v>PEREMPUAN</v>
      </c>
      <c r="K1268" s="6" t="str">
        <f>IFERROR(__xludf.DUMMYFUNCTION("""COMPUTED_VALUE"""),"BTN GRIYA BARUGA INDAH BLOK DD 23")</f>
        <v>BTN GRIYA BARUGA INDAH BLOK DD 23</v>
      </c>
      <c r="R1268" s="7" t="str">
        <f>IFERROR(__xludf.DUMMYFUNCTION("""COMPUTED_VALUE"""),"BK")</f>
        <v>BK</v>
      </c>
    </row>
    <row r="1269" ht="22.5" customHeight="1">
      <c r="A1269" s="6">
        <v>1268.0</v>
      </c>
      <c r="B1269" s="6" t="str">
        <f>IFERROR(__xludf.DUMMYFUNCTION("""COMPUTED_VALUE"""),"Asisten Pembuat Pakaian")</f>
        <v>Asisten Pembuat Pakaian</v>
      </c>
      <c r="F1269" s="6" t="str">
        <f>IFERROR(__xludf.DUMMYFUNCTION("""COMPUTED_VALUE"""),"SITI AISYAH AMINI ")</f>
        <v>SITI AISYAH AMINI </v>
      </c>
      <c r="G1269" s="6" t="str">
        <f>IFERROR(__xludf.DUMMYFUNCTION("""COMPUTED_VALUE"""),"7471016806080001")</f>
        <v>7471016806080001</v>
      </c>
      <c r="J1269" s="7" t="str">
        <f>IFERROR(__xludf.DUMMYFUNCTION("""COMPUTED_VALUE"""),"PEREMPUAN")</f>
        <v>PEREMPUAN</v>
      </c>
      <c r="K1269" s="6" t="str">
        <f>IFERROR(__xludf.DUMMYFUNCTION("""COMPUTED_VALUE"""),"JL. R SOEPRAPTO, LR. SUBSIDI 2, KEL. ANGGILOWU, KEC. MANDONGA ")</f>
        <v>JL. R SOEPRAPTO, LR. SUBSIDI 2, KEL. ANGGILOWU, KEC. MANDONGA </v>
      </c>
      <c r="R1269" s="7" t="str">
        <f>IFERROR(__xludf.DUMMYFUNCTION("""COMPUTED_VALUE"""),"K")</f>
        <v>K</v>
      </c>
    </row>
    <row r="1270" ht="22.5" customHeight="1">
      <c r="A1270" s="6">
        <v>1269.0</v>
      </c>
      <c r="B1270" s="6" t="str">
        <f>IFERROR(__xludf.DUMMYFUNCTION("""COMPUTED_VALUE"""),"Asisten Pembuat Pakaian")</f>
        <v>Asisten Pembuat Pakaian</v>
      </c>
      <c r="F1270" s="6" t="str">
        <f>IFERROR(__xludf.DUMMYFUNCTION("""COMPUTED_VALUE"""),"TRIFENA SINTIA PONDE")</f>
        <v>TRIFENA SINTIA PONDE</v>
      </c>
      <c r="G1270" s="6" t="str">
        <f>IFERROR(__xludf.DUMMYFUNCTION("""COMPUTED_VALUE"""),"7471035707050001")</f>
        <v>7471035707050001</v>
      </c>
      <c r="J1270" s="7" t="str">
        <f>IFERROR(__xludf.DUMMYFUNCTION("""COMPUTED_VALUE"""),"PEREMPUAN")</f>
        <v>PEREMPUAN</v>
      </c>
      <c r="K1270" s="6" t="str">
        <f>IFERROR(__xludf.DUMMYFUNCTION("""COMPUTED_VALUE"""),"JL. MAYJEN KATAMSO")</f>
        <v>JL. MAYJEN KATAMSO</v>
      </c>
      <c r="R1270" s="7" t="str">
        <f>IFERROR(__xludf.DUMMYFUNCTION("""COMPUTED_VALUE"""),"K")</f>
        <v>K</v>
      </c>
    </row>
    <row r="1271" ht="22.5" customHeight="1">
      <c r="A1271" s="6">
        <v>1270.0</v>
      </c>
      <c r="B1271" s="6" t="str">
        <f>IFERROR(__xludf.DUMMYFUNCTION("""COMPUTED_VALUE"""),"Asisten Pembuat Pakaian")</f>
        <v>Asisten Pembuat Pakaian</v>
      </c>
      <c r="F1271" s="6" t="str">
        <f>IFERROR(__xludf.DUMMYFUNCTION("""COMPUTED_VALUE"""),"Lilis Ayu Nindita")</f>
        <v>Lilis Ayu Nindita</v>
      </c>
      <c r="G1271" s="6" t="str">
        <f>IFERROR(__xludf.DUMMYFUNCTION("""COMPUTED_VALUE"""),"7405166511070001")</f>
        <v>7405166511070001</v>
      </c>
      <c r="J1271" s="7" t="str">
        <f>IFERROR(__xludf.DUMMYFUNCTION("""COMPUTED_VALUE"""),"PEREMPUAN")</f>
        <v>PEREMPUAN</v>
      </c>
      <c r="K1271" s="6" t="str">
        <f>IFERROR(__xludf.DUMMYFUNCTION("""COMPUTED_VALUE"""),"Mekar Jaya, 25 November 2007")</f>
        <v>Mekar Jaya, 25 November 2007</v>
      </c>
      <c r="R1271" s="7" t="str">
        <f>IFERROR(__xludf.DUMMYFUNCTION("""COMPUTED_VALUE"""),"K")</f>
        <v>K</v>
      </c>
    </row>
    <row r="1272" ht="22.5" customHeight="1">
      <c r="A1272" s="6">
        <v>1271.0</v>
      </c>
      <c r="B1272" s="6" t="str">
        <f>IFERROR(__xludf.DUMMYFUNCTION("""COMPUTED_VALUE"""),"Peracikan Minuman Kopi ")</f>
        <v>Peracikan Minuman Kopi </v>
      </c>
      <c r="F1272" s="6" t="str">
        <f>IFERROR(__xludf.DUMMYFUNCTION("""COMPUTED_VALUE"""),"St. Kirana Lisa Herul")</f>
        <v>St. Kirana Lisa Herul</v>
      </c>
      <c r="G1272" s="6" t="str">
        <f>IFERROR(__xludf.DUMMYFUNCTION("""COMPUTED_VALUE"""),"7309035503090002")</f>
        <v>7309035503090002</v>
      </c>
      <c r="J1272" s="7" t="str">
        <f>IFERROR(__xludf.DUMMYFUNCTION("""COMPUTED_VALUE"""),"PEREMPUAN")</f>
        <v>PEREMPUAN</v>
      </c>
      <c r="K1272" s="6" t="str">
        <f>IFERROR(__xludf.DUMMYFUNCTION("""COMPUTED_VALUE"""),"Kambu, Kec. kambu, Kota Kendari")</f>
        <v>Kambu, Kec. kambu, Kota Kendari</v>
      </c>
      <c r="R1272" s="7" t="str">
        <f>IFERROR(__xludf.DUMMYFUNCTION("""COMPUTED_VALUE"""),"K")</f>
        <v>K</v>
      </c>
    </row>
    <row r="1273" ht="22.5" customHeight="1">
      <c r="A1273" s="6">
        <v>1272.0</v>
      </c>
      <c r="B1273" s="6" t="str">
        <f>IFERROR(__xludf.DUMMYFUNCTION("""COMPUTED_VALUE"""),"Peracikan Minuman Kopi ")</f>
        <v>Peracikan Minuman Kopi </v>
      </c>
      <c r="F1273" s="6" t="str">
        <f>IFERROR(__xludf.DUMMYFUNCTION("""COMPUTED_VALUE"""),"INAYATI SALSABILLAH")</f>
        <v>INAYATI SALSABILLAH</v>
      </c>
      <c r="G1273" s="6" t="str">
        <f>IFERROR(__xludf.DUMMYFUNCTION("""COMPUTED_VALUE"""),"5313086407040001")</f>
        <v>5313086407040001</v>
      </c>
      <c r="J1273" s="7" t="str">
        <f>IFERROR(__xludf.DUMMYFUNCTION("""COMPUTED_VALUE"""),"PEREMPUAN")</f>
        <v>PEREMPUAN</v>
      </c>
      <c r="K1273" s="6" t="str">
        <f>IFERROR(__xludf.DUMMYFUNCTION("""COMPUTED_VALUE"""),"LABALA, LEWORAJA, KEC. WULANDONI, KAB. LEMBATA, PROV. NUSA TENGGARA TIMUR")</f>
        <v>LABALA, LEWORAJA, KEC. WULANDONI, KAB. LEMBATA, PROV. NUSA TENGGARA TIMUR</v>
      </c>
      <c r="R1273" s="7" t="str">
        <f>IFERROR(__xludf.DUMMYFUNCTION("""COMPUTED_VALUE"""),"K")</f>
        <v>K</v>
      </c>
    </row>
    <row r="1274" ht="22.5" customHeight="1">
      <c r="A1274" s="6">
        <v>1273.0</v>
      </c>
      <c r="B1274" s="6" t="str">
        <f>IFERROR(__xludf.DUMMYFUNCTION("""COMPUTED_VALUE"""),"Peracikan Minuman Kopi ")</f>
        <v>Peracikan Minuman Kopi </v>
      </c>
      <c r="F1274" s="6" t="str">
        <f>IFERROR(__xludf.DUMMYFUNCTION("""COMPUTED_VALUE"""),"NIDHAL HUSNUL AQIB")</f>
        <v>NIDHAL HUSNUL AQIB</v>
      </c>
      <c r="G1274" s="6" t="str">
        <f>IFERROR(__xludf.DUMMYFUNCTION("""COMPUTED_VALUE"""),"7471031002080001")</f>
        <v>7471031002080001</v>
      </c>
      <c r="J1274" s="7" t="str">
        <f>IFERROR(__xludf.DUMMYFUNCTION("""COMPUTED_VALUE"""),"LAKI-LAKI")</f>
        <v>LAKI-LAKI</v>
      </c>
      <c r="K1274" s="6" t="str">
        <f>IFERROR(__xludf.DUMMYFUNCTION("""COMPUTED_VALUE"""),"BTN.BUKIT KENDARI INDAH")</f>
        <v>BTN.BUKIT KENDARI INDAH</v>
      </c>
      <c r="R1274" s="7" t="str">
        <f>IFERROR(__xludf.DUMMYFUNCTION("""COMPUTED_VALUE"""),"K")</f>
        <v>K</v>
      </c>
    </row>
    <row r="1275" ht="22.5" customHeight="1">
      <c r="A1275" s="6">
        <v>1274.0</v>
      </c>
      <c r="B1275" s="6" t="str">
        <f>IFERROR(__xludf.DUMMYFUNCTION("""COMPUTED_VALUE"""),"Peracikan Minuman Kopi ")</f>
        <v>Peracikan Minuman Kopi </v>
      </c>
      <c r="F1275" s="6" t="str">
        <f>IFERROR(__xludf.DUMMYFUNCTION("""COMPUTED_VALUE"""),"MUHAMMAD ZULBAR")</f>
        <v>MUHAMMAD ZULBAR</v>
      </c>
      <c r="G1275" s="6" t="str">
        <f>IFERROR(__xludf.DUMMYFUNCTION("""COMPUTED_VALUE"""),"7471072806080001")</f>
        <v>7471072806080001</v>
      </c>
      <c r="J1275" s="7" t="str">
        <f>IFERROR(__xludf.DUMMYFUNCTION("""COMPUTED_VALUE"""),"LAKI-LAKI")</f>
        <v>LAKI-LAKI</v>
      </c>
      <c r="K1275" s="6" t="str">
        <f>IFERROR(__xludf.DUMMYFUNCTION("""COMPUTED_VALUE"""),"JLN PERKUBURAN PUNGGOLAKA")</f>
        <v>JLN PERKUBURAN PUNGGOLAKA</v>
      </c>
      <c r="R1275" s="7" t="str">
        <f>IFERROR(__xludf.DUMMYFUNCTION("""COMPUTED_VALUE"""),"K")</f>
        <v>K</v>
      </c>
    </row>
    <row r="1276" ht="22.5" customHeight="1">
      <c r="A1276" s="6">
        <v>1275.0</v>
      </c>
      <c r="B1276" s="6" t="str">
        <f>IFERROR(__xludf.DUMMYFUNCTION("""COMPUTED_VALUE"""),"Peracikan Minuman Kopi ")</f>
        <v>Peracikan Minuman Kopi </v>
      </c>
      <c r="F1276" s="6" t="str">
        <f>IFERROR(__xludf.DUMMYFUNCTION("""COMPUTED_VALUE"""),"CHELSEA MARVIONA RUMONDOR")</f>
        <v>CHELSEA MARVIONA RUMONDOR</v>
      </c>
      <c r="G1276" s="6" t="str">
        <f>IFERROR(__xludf.DUMMYFUNCTION("""COMPUTED_VALUE"""),"7405086302080001")</f>
        <v>7405086302080001</v>
      </c>
      <c r="J1276" s="7" t="str">
        <f>IFERROR(__xludf.DUMMYFUNCTION("""COMPUTED_VALUE"""),"PEREMPUAN")</f>
        <v>PEREMPUAN</v>
      </c>
      <c r="K1276" s="6" t="str">
        <f>IFERROR(__xludf.DUMMYFUNCTION("""COMPUTED_VALUE"""),"JL. MAWAR, PERUMAHAN MAWAR SARON BLOK A. 12")</f>
        <v>JL. MAWAR, PERUMAHAN MAWAR SARON BLOK A. 12</v>
      </c>
      <c r="R1276" s="7" t="str">
        <f>IFERROR(__xludf.DUMMYFUNCTION("""COMPUTED_VALUE"""),"K")</f>
        <v>K</v>
      </c>
    </row>
    <row r="1277" ht="22.5" customHeight="1">
      <c r="A1277" s="6">
        <v>1276.0</v>
      </c>
      <c r="B1277" s="6" t="str">
        <f>IFERROR(__xludf.DUMMYFUNCTION("""COMPUTED_VALUE"""),"Peracikan Minuman Kopi ")</f>
        <v>Peracikan Minuman Kopi </v>
      </c>
      <c r="F1277" s="6" t="str">
        <f>IFERROR(__xludf.DUMMYFUNCTION("""COMPUTED_VALUE"""),"MARDIN")</f>
        <v>MARDIN</v>
      </c>
      <c r="G1277" s="6" t="str">
        <f>IFERROR(__xludf.DUMMYFUNCTION("""COMPUTED_VALUE"""),"7404283103040001")</f>
        <v>7404283103040001</v>
      </c>
      <c r="J1277" s="7" t="str">
        <f>IFERROR(__xludf.DUMMYFUNCTION("""COMPUTED_VALUE"""),"LAKI-LAKI")</f>
        <v>LAKI-LAKI</v>
      </c>
      <c r="K1277" s="6" t="str">
        <f>IFERROR(__xludf.DUMMYFUNCTION("""COMPUTED_VALUE"""),"DUSUN PATAMBARA, DESA BURANGASI, KEC.LAPANDEWA, KAB. BUTON SELATAN")</f>
        <v>DUSUN PATAMBARA, DESA BURANGASI, KEC.LAPANDEWA, KAB. BUTON SELATAN</v>
      </c>
      <c r="R1277" s="7" t="str">
        <f>IFERROR(__xludf.DUMMYFUNCTION("""COMPUTED_VALUE"""),"K")</f>
        <v>K</v>
      </c>
    </row>
    <row r="1278" ht="22.5" customHeight="1">
      <c r="A1278" s="6">
        <v>1277.0</v>
      </c>
      <c r="B1278" s="6" t="str">
        <f>IFERROR(__xludf.DUMMYFUNCTION("""COMPUTED_VALUE"""),"Peracikan Minuman Kopi ")</f>
        <v>Peracikan Minuman Kopi </v>
      </c>
      <c r="F1278" s="6" t="str">
        <f>IFERROR(__xludf.DUMMYFUNCTION("""COMPUTED_VALUE"""),"TEJA SUBAGJA AJIJI ROHIM")</f>
        <v>TEJA SUBAGJA AJIJI ROHIM</v>
      </c>
      <c r="G1278" s="6" t="str">
        <f>IFERROR(__xludf.DUMMYFUNCTION("""COMPUTED_VALUE"""),"7405102008060001")</f>
        <v>7405102008060001</v>
      </c>
      <c r="J1278" s="7" t="str">
        <f>IFERROR(__xludf.DUMMYFUNCTION("""COMPUTED_VALUE"""),"LAKI-LAKI")</f>
        <v>LAKI-LAKI</v>
      </c>
      <c r="K1278" s="6" t="str">
        <f>IFERROR(__xludf.DUMMYFUNCTION("""COMPUTED_VALUE"""),"JL.PASAR BARUGA ")</f>
        <v>JL.PASAR BARUGA </v>
      </c>
      <c r="R1278" s="7" t="str">
        <f>IFERROR(__xludf.DUMMYFUNCTION("""COMPUTED_VALUE"""),"K")</f>
        <v>K</v>
      </c>
    </row>
    <row r="1279" ht="22.5" customHeight="1">
      <c r="A1279" s="6">
        <v>1278.0</v>
      </c>
      <c r="B1279" s="6" t="str">
        <f>IFERROR(__xludf.DUMMYFUNCTION("""COMPUTED_VALUE"""),"Peracikan Minuman Kopi ")</f>
        <v>Peracikan Minuman Kopi </v>
      </c>
      <c r="F1279" s="6" t="str">
        <f>IFERROR(__xludf.DUMMYFUNCTION("""COMPUTED_VALUE"""),"FREDLY CHRISTIAN RIZKY SAKKE")</f>
        <v>FREDLY CHRISTIAN RIZKY SAKKE</v>
      </c>
      <c r="G1279" s="6" t="str">
        <f>IFERROR(__xludf.DUMMYFUNCTION("""COMPUTED_VALUE"""),"7471021502060003")</f>
        <v>7471021502060003</v>
      </c>
      <c r="J1279" s="7" t="str">
        <f>IFERROR(__xludf.DUMMYFUNCTION("""COMPUTED_VALUE"""),"LAKI-LAKI")</f>
        <v>LAKI-LAKI</v>
      </c>
      <c r="K1279" s="6" t="str">
        <f>IFERROR(__xludf.DUMMYFUNCTION("""COMPUTED_VALUE"""),"BTN A99 Corp. land")</f>
        <v>BTN A99 Corp. land</v>
      </c>
      <c r="R1279" s="7" t="str">
        <f>IFERROR(__xludf.DUMMYFUNCTION("""COMPUTED_VALUE"""),"K")</f>
        <v>K</v>
      </c>
    </row>
    <row r="1280" ht="22.5" customHeight="1">
      <c r="A1280" s="6">
        <v>1279.0</v>
      </c>
      <c r="B1280" s="6" t="str">
        <f>IFERROR(__xludf.DUMMYFUNCTION("""COMPUTED_VALUE"""),"Peracikan Minuman Kopi ")</f>
        <v>Peracikan Minuman Kopi </v>
      </c>
      <c r="F1280" s="6" t="str">
        <f>IFERROR(__xludf.DUMMYFUNCTION("""COMPUTED_VALUE"""),"CAESAR JUSTICIO ")</f>
        <v>CAESAR JUSTICIO </v>
      </c>
      <c r="G1280" s="6" t="str">
        <f>IFERROR(__xludf.DUMMYFUNCTION("""COMPUTED_VALUE"""),"7402031601060003")</f>
        <v>7402031601060003</v>
      </c>
      <c r="J1280" s="7" t="str">
        <f>IFERROR(__xludf.DUMMYFUNCTION("""COMPUTED_VALUE"""),"LAKI-LAKI")</f>
        <v>LAKI-LAKI</v>
      </c>
      <c r="K1280" s="6" t="str">
        <f>IFERROR(__xludf.DUMMYFUNCTION("""COMPUTED_VALUE"""),"KEL.TORIKI. KEC.ANGGABERI KAB.KONAWE")</f>
        <v>KEL.TORIKI. KEC.ANGGABERI KAB.KONAWE</v>
      </c>
      <c r="R1280" s="7" t="str">
        <f>IFERROR(__xludf.DUMMYFUNCTION("""COMPUTED_VALUE"""),"K")</f>
        <v>K</v>
      </c>
    </row>
    <row r="1281" ht="22.5" customHeight="1">
      <c r="A1281" s="6">
        <v>1280.0</v>
      </c>
      <c r="B1281" s="6" t="str">
        <f>IFERROR(__xludf.DUMMYFUNCTION("""COMPUTED_VALUE"""),"Peracikan Minuman Kopi ")</f>
        <v>Peracikan Minuman Kopi </v>
      </c>
      <c r="F1281" s="6" t="str">
        <f>IFERROR(__xludf.DUMMYFUNCTION("""COMPUTED_VALUE"""),"ANDRA NAUFAL ")</f>
        <v>ANDRA NAUFAL </v>
      </c>
      <c r="G1281" s="6" t="str">
        <f>IFERROR(__xludf.DUMMYFUNCTION("""COMPUTED_VALUE"""),"7401022803070001")</f>
        <v>7401022803070001</v>
      </c>
      <c r="J1281" s="7" t="str">
        <f>IFERROR(__xludf.DUMMYFUNCTION("""COMPUTED_VALUE"""),"LAKI-LAKI")</f>
        <v>LAKI-LAKI</v>
      </c>
      <c r="K1281" s="6" t="str">
        <f>IFERROR(__xludf.DUMMYFUNCTION("""COMPUTED_VALUE"""),"DESA WOIHA ")</f>
        <v>DESA WOIHA </v>
      </c>
      <c r="R1281" s="7" t="str">
        <f>IFERROR(__xludf.DUMMYFUNCTION("""COMPUTED_VALUE"""),"K")</f>
        <v>K</v>
      </c>
    </row>
    <row r="1282" ht="22.5" customHeight="1">
      <c r="A1282" s="6">
        <v>1281.0</v>
      </c>
      <c r="B1282" s="6" t="str">
        <f>IFERROR(__xludf.DUMMYFUNCTION("""COMPUTED_VALUE"""),"Peracikan Minuman Kopi ")</f>
        <v>Peracikan Minuman Kopi </v>
      </c>
      <c r="F1282" s="6" t="str">
        <f>IFERROR(__xludf.DUMMYFUNCTION("""COMPUTED_VALUE"""),"SRI ASTUTI S")</f>
        <v>SRI ASTUTI S</v>
      </c>
      <c r="G1282" s="6" t="str">
        <f>IFERROR(__xludf.DUMMYFUNCTION("""COMPUTED_VALUE"""),"7471086012980001")</f>
        <v>7471086012980001</v>
      </c>
      <c r="J1282" s="7" t="str">
        <f>IFERROR(__xludf.DUMMYFUNCTION("""COMPUTED_VALUE"""),"PEREMPUAN")</f>
        <v>PEREMPUAN</v>
      </c>
      <c r="K1282" s="6" t="str">
        <f>IFERROR(__xludf.DUMMYFUNCTION("""COMPUTED_VALUE"""),"JL MEKAR, LR MANDIRI ")</f>
        <v>JL MEKAR, LR MANDIRI </v>
      </c>
      <c r="R1282" s="7" t="str">
        <f>IFERROR(__xludf.DUMMYFUNCTION("""COMPUTED_VALUE"""),"K")</f>
        <v>K</v>
      </c>
    </row>
    <row r="1283" ht="22.5" customHeight="1">
      <c r="A1283" s="6">
        <v>1282.0</v>
      </c>
      <c r="B1283" s="6" t="str">
        <f>IFERROR(__xludf.DUMMYFUNCTION("""COMPUTED_VALUE"""),"Peracikan Minuman Kopi ")</f>
        <v>Peracikan Minuman Kopi </v>
      </c>
      <c r="F1283" s="6" t="str">
        <f>IFERROR(__xludf.DUMMYFUNCTION("""COMPUTED_VALUE"""),"IYAN ADRYAN")</f>
        <v>IYAN ADRYAN</v>
      </c>
      <c r="G1283" s="6" t="str">
        <f>IFERROR(__xludf.DUMMYFUNCTION("""COMPUTED_VALUE"""),"7471051603060001")</f>
        <v>7471051603060001</v>
      </c>
      <c r="J1283" s="7" t="str">
        <f>IFERROR(__xludf.DUMMYFUNCTION("""COMPUTED_VALUE"""),"LAKI-LAKI")</f>
        <v>LAKI-LAKI</v>
      </c>
      <c r="K1283" s="6" t="str">
        <f>IFERROR(__xludf.DUMMYFUNCTION("""COMPUTED_VALUE"""),"BTN PINANG KUNING")</f>
        <v>BTN PINANG KUNING</v>
      </c>
      <c r="R1283" s="7" t="str">
        <f>IFERROR(__xludf.DUMMYFUNCTION("""COMPUTED_VALUE"""),"K")</f>
        <v>K</v>
      </c>
    </row>
    <row r="1284" ht="22.5" customHeight="1">
      <c r="A1284" s="6">
        <v>1283.0</v>
      </c>
      <c r="B1284" s="6" t="str">
        <f>IFERROR(__xludf.DUMMYFUNCTION("""COMPUTED_VALUE"""),"Perakitan Komponen Fabrikasi")</f>
        <v>Perakitan Komponen Fabrikasi</v>
      </c>
      <c r="F1284" s="6" t="str">
        <f>IFERROR(__xludf.DUMMYFUNCTION("""COMPUTED_VALUE"""),"HERCULES AGUS PRABOWO HAERUL")</f>
        <v>HERCULES AGUS PRABOWO HAERUL</v>
      </c>
      <c r="G1284" s="6" t="str">
        <f>IFERROR(__xludf.DUMMYFUNCTION("""COMPUTED_VALUE"""),"3525041708060001")</f>
        <v>3525041708060001</v>
      </c>
      <c r="J1284" s="7" t="str">
        <f>IFERROR(__xludf.DUMMYFUNCTION("""COMPUTED_VALUE"""),"LAKI-LAKI")</f>
        <v>LAKI-LAKI</v>
      </c>
      <c r="K1284" s="6" t="str">
        <f>IFERROR(__xludf.DUMMYFUNCTION("""COMPUTED_VALUE"""),"JL. R. SUPRAPTO. NO 9")</f>
        <v>JL. R. SUPRAPTO. NO 9</v>
      </c>
      <c r="R1284" s="7" t="str">
        <f>IFERROR(__xludf.DUMMYFUNCTION("""COMPUTED_VALUE"""),"K")</f>
        <v>K</v>
      </c>
    </row>
    <row r="1285" ht="22.5" customHeight="1">
      <c r="A1285" s="6">
        <v>1284.0</v>
      </c>
      <c r="B1285" s="6" t="str">
        <f>IFERROR(__xludf.DUMMYFUNCTION("""COMPUTED_VALUE"""),"Perakitan Komponen Fabrikasi")</f>
        <v>Perakitan Komponen Fabrikasi</v>
      </c>
      <c r="F1285" s="6" t="str">
        <f>IFERROR(__xludf.DUMMYFUNCTION("""COMPUTED_VALUE"""),"ALDY JULIANSYAH")</f>
        <v>ALDY JULIANSYAH</v>
      </c>
      <c r="G1285" s="6" t="str">
        <f>IFERROR(__xludf.DUMMYFUNCTION("""COMPUTED_VALUE"""),"7471091507080001")</f>
        <v>7471091507080001</v>
      </c>
      <c r="J1285" s="7" t="str">
        <f>IFERROR(__xludf.DUMMYFUNCTION("""COMPUTED_VALUE"""),"LAKI-LAKI")</f>
        <v>LAKI-LAKI</v>
      </c>
      <c r="K1285" s="6" t="str">
        <f>IFERROR(__xludf.DUMMYFUNCTION("""COMPUTED_VALUE"""),"JL. CHAIRIL ANWAR LR. DURIAN KEC. WUA-WUA KEL. WUA-WUA")</f>
        <v>JL. CHAIRIL ANWAR LR. DURIAN KEC. WUA-WUA KEL. WUA-WUA</v>
      </c>
      <c r="R1285" s="7" t="str">
        <f>IFERROR(__xludf.DUMMYFUNCTION("""COMPUTED_VALUE"""),"BK")</f>
        <v>BK</v>
      </c>
    </row>
    <row r="1286" ht="22.5" customHeight="1">
      <c r="A1286" s="6">
        <v>1285.0</v>
      </c>
      <c r="B1286" s="6" t="str">
        <f>IFERROR(__xludf.DUMMYFUNCTION("""COMPUTED_VALUE"""),"Perakitan Komponen Fabrikasi")</f>
        <v>Perakitan Komponen Fabrikasi</v>
      </c>
      <c r="F1286" s="6" t="str">
        <f>IFERROR(__xludf.DUMMYFUNCTION("""COMPUTED_VALUE"""),"AKMAL NORMANTO ")</f>
        <v>AKMAL NORMANTO </v>
      </c>
      <c r="G1286" s="6" t="str">
        <f>IFERROR(__xludf.DUMMYFUNCTION("""COMPUTED_VALUE"""),"7471082702080001")</f>
        <v>7471082702080001</v>
      </c>
      <c r="J1286" s="7" t="str">
        <f>IFERROR(__xludf.DUMMYFUNCTION("""COMPUTED_VALUE"""),"LAKI-LAKI")</f>
        <v>LAKI-LAKI</v>
      </c>
      <c r="K1286" s="6" t="str">
        <f>IFERROR(__xludf.DUMMYFUNCTION("""COMPUTED_VALUE"""),"JL. LASANDARA")</f>
        <v>JL. LASANDARA</v>
      </c>
      <c r="R1286" s="7" t="str">
        <f>IFERROR(__xludf.DUMMYFUNCTION("""COMPUTED_VALUE"""),"BK")</f>
        <v>BK</v>
      </c>
    </row>
    <row r="1287" ht="22.5" customHeight="1">
      <c r="A1287" s="6">
        <v>1286.0</v>
      </c>
      <c r="B1287" s="6" t="str">
        <f>IFERROR(__xludf.DUMMYFUNCTION("""COMPUTED_VALUE"""),"Perakitan Komponen Fabrikasi")</f>
        <v>Perakitan Komponen Fabrikasi</v>
      </c>
      <c r="F1287" s="6" t="str">
        <f>IFERROR(__xludf.DUMMYFUNCTION("""COMPUTED_VALUE"""),"FERDI APRILIAN SAPUTRA")</f>
        <v>FERDI APRILIAN SAPUTRA</v>
      </c>
      <c r="G1287" s="6" t="str">
        <f>IFERROR(__xludf.DUMMYFUNCTION("""COMPUTED_VALUE"""),"7402101004070003")</f>
        <v>7402101004070003</v>
      </c>
      <c r="J1287" s="7" t="str">
        <f>IFERROR(__xludf.DUMMYFUNCTION("""COMPUTED_VALUE"""),"LAKI-LAKI")</f>
        <v>LAKI-LAKI</v>
      </c>
      <c r="K1287" s="6" t="str">
        <f>IFERROR(__xludf.DUMMYFUNCTION("""COMPUTED_VALUE"""),"JLN. TELUK")</f>
        <v>JLN. TELUK</v>
      </c>
      <c r="R1287" s="7" t="str">
        <f>IFERROR(__xludf.DUMMYFUNCTION("""COMPUTED_VALUE"""),"BK")</f>
        <v>BK</v>
      </c>
    </row>
    <row r="1288" ht="22.5" customHeight="1">
      <c r="A1288" s="6">
        <v>1287.0</v>
      </c>
      <c r="B1288" s="6" t="str">
        <f>IFERROR(__xludf.DUMMYFUNCTION("""COMPUTED_VALUE"""),"Perakitan Komponen Fabrikasi")</f>
        <v>Perakitan Komponen Fabrikasi</v>
      </c>
      <c r="F1288" s="6" t="str">
        <f>IFERROR(__xludf.DUMMYFUNCTION("""COMPUTED_VALUE"""),"LA ODE SULTHAN MURAQIBI AMBIYA ")</f>
        <v>LA ODE SULTHAN MURAQIBI AMBIYA </v>
      </c>
      <c r="G1288" s="6" t="str">
        <f>IFERROR(__xludf.DUMMYFUNCTION("""COMPUTED_VALUE"""),"7471011509030001")</f>
        <v>7471011509030001</v>
      </c>
      <c r="J1288" s="7" t="str">
        <f>IFERROR(__xludf.DUMMYFUNCTION("""COMPUTED_VALUE"""),"LAKI-LAKI")</f>
        <v>LAKI-LAKI</v>
      </c>
      <c r="K1288" s="6" t="str">
        <f>IFERROR(__xludf.DUMMYFUNCTION("""COMPUTED_VALUE"""),"JALAN LAUTE 3")</f>
        <v>JALAN LAUTE 3</v>
      </c>
      <c r="R1288" s="7" t="str">
        <f>IFERROR(__xludf.DUMMYFUNCTION("""COMPUTED_VALUE"""),"BK")</f>
        <v>BK</v>
      </c>
    </row>
    <row r="1289" ht="22.5" customHeight="1">
      <c r="A1289" s="6">
        <v>1288.0</v>
      </c>
      <c r="B1289" s="6" t="str">
        <f>IFERROR(__xludf.DUMMYFUNCTION("""COMPUTED_VALUE"""),"Perakitan Komponen Fabrikasi")</f>
        <v>Perakitan Komponen Fabrikasi</v>
      </c>
      <c r="F1289" s="6" t="str">
        <f>IFERROR(__xludf.DUMMYFUNCTION("""COMPUTED_VALUE"""),"ADHIT RAHMAT SYAIFULLAH")</f>
        <v>ADHIT RAHMAT SYAIFULLAH</v>
      </c>
      <c r="G1289" s="6" t="str">
        <f>IFERROR(__xludf.DUMMYFUNCTION("""COMPUTED_VALUE"""),"7472061811070002")</f>
        <v>7472061811070002</v>
      </c>
      <c r="J1289" s="7" t="str">
        <f>IFERROR(__xludf.DUMMYFUNCTION("""COMPUTED_VALUE"""),"LAKI-LAKI")</f>
        <v>LAKI-LAKI</v>
      </c>
      <c r="K1289" s="6" t="str">
        <f>IFERROR(__xludf.DUMMYFUNCTION("""COMPUTED_VALUE"""),"JL. SULTAN LABUKE")</f>
        <v>JL. SULTAN LABUKE</v>
      </c>
      <c r="R1289" s="7" t="str">
        <f>IFERROR(__xludf.DUMMYFUNCTION("""COMPUTED_VALUE"""),"K")</f>
        <v>K</v>
      </c>
    </row>
    <row r="1290" ht="22.5" customHeight="1">
      <c r="A1290" s="6">
        <v>1289.0</v>
      </c>
      <c r="B1290" s="6" t="str">
        <f>IFERROR(__xludf.DUMMYFUNCTION("""COMPUTED_VALUE"""),"Perakitan Komponen Fabrikasi")</f>
        <v>Perakitan Komponen Fabrikasi</v>
      </c>
      <c r="F1290" s="6" t="str">
        <f>IFERROR(__xludf.DUMMYFUNCTION("""COMPUTED_VALUE"""),"VIRGIAWAN LISTANTO WAIMURI")</f>
        <v>VIRGIAWAN LISTANTO WAIMURI</v>
      </c>
      <c r="G1290" s="6" t="str">
        <f>IFERROR(__xludf.DUMMYFUNCTION("""COMPUTED_VALUE"""),"9171022711040001")</f>
        <v>9171022711040001</v>
      </c>
      <c r="J1290" s="7" t="str">
        <f>IFERROR(__xludf.DUMMYFUNCTION("""COMPUTED_VALUE"""),"LAKI-LAKI")</f>
        <v>LAKI-LAKI</v>
      </c>
      <c r="K1290" s="6" t="str">
        <f>IFERROR(__xludf.DUMMYFUNCTION("""COMPUTED_VALUE"""),"JL BATU KARANG")</f>
        <v>JL BATU KARANG</v>
      </c>
      <c r="R1290" s="7" t="str">
        <f>IFERROR(__xludf.DUMMYFUNCTION("""COMPUTED_VALUE"""),"BK")</f>
        <v>BK</v>
      </c>
    </row>
    <row r="1291" ht="22.5" customHeight="1">
      <c r="A1291" s="6">
        <v>1290.0</v>
      </c>
      <c r="B1291" s="6" t="str">
        <f>IFERROR(__xludf.DUMMYFUNCTION("""COMPUTED_VALUE"""),"Perakitan Komponen Fabrikasi")</f>
        <v>Perakitan Komponen Fabrikasi</v>
      </c>
      <c r="F1291" s="6" t="str">
        <f>IFERROR(__xludf.DUMMYFUNCTION("""COMPUTED_VALUE"""),"BAHARUDIN")</f>
        <v>BAHARUDIN</v>
      </c>
      <c r="G1291" s="6" t="str">
        <f>IFERROR(__xludf.DUMMYFUNCTION("""COMPUTED_VALUE"""),"7403321810070001")</f>
        <v>7403321810070001</v>
      </c>
      <c r="J1291" s="7" t="str">
        <f>IFERROR(__xludf.DUMMYFUNCTION("""COMPUTED_VALUE"""),"LAKI-LAKI")</f>
        <v>LAKI-LAKI</v>
      </c>
      <c r="K1291" s="6" t="str">
        <f>IFERROR(__xludf.DUMMYFUNCTION("""COMPUTED_VALUE"""),"DESA WALE ALE")</f>
        <v>DESA WALE ALE</v>
      </c>
      <c r="R1291" s="7" t="str">
        <f>IFERROR(__xludf.DUMMYFUNCTION("""COMPUTED_VALUE"""),"K")</f>
        <v>K</v>
      </c>
    </row>
    <row r="1292" ht="22.5" customHeight="1">
      <c r="A1292" s="6">
        <v>1291.0</v>
      </c>
      <c r="B1292" s="6" t="str">
        <f>IFERROR(__xludf.DUMMYFUNCTION("""COMPUTED_VALUE"""),"Perakitan Komponen Fabrikasi")</f>
        <v>Perakitan Komponen Fabrikasi</v>
      </c>
      <c r="F1292" s="6" t="str">
        <f>IFERROR(__xludf.DUMMYFUNCTION("""COMPUTED_VALUE"""),"IZHAR")</f>
        <v>IZHAR</v>
      </c>
      <c r="G1292" s="6" t="str">
        <f>IFERROR(__xludf.DUMMYFUNCTION("""COMPUTED_VALUE"""),"7410011405780001")</f>
        <v>7410011405780001</v>
      </c>
      <c r="J1292" s="7" t="str">
        <f>IFERROR(__xludf.DUMMYFUNCTION("""COMPUTED_VALUE"""),"LAKI-LAKI")</f>
        <v>LAKI-LAKI</v>
      </c>
      <c r="K1292" s="6" t="str">
        <f>IFERROR(__xludf.DUMMYFUNCTION("""COMPUTED_VALUE"""),"PORIS GAGA. RT/RW 003/001. BATU CEPER. TANGERANG KOTA, BANTEN.")</f>
        <v>PORIS GAGA. RT/RW 003/001. BATU CEPER. TANGERANG KOTA, BANTEN.</v>
      </c>
      <c r="R1292" s="7" t="str">
        <f>IFERROR(__xludf.DUMMYFUNCTION("""COMPUTED_VALUE"""),"K")</f>
        <v>K</v>
      </c>
    </row>
    <row r="1293" ht="22.5" customHeight="1">
      <c r="A1293" s="6">
        <v>1292.0</v>
      </c>
      <c r="B1293" s="6" t="str">
        <f>IFERROR(__xludf.DUMMYFUNCTION("""COMPUTED_VALUE"""),"Perakitan Komponen Fabrikasi")</f>
        <v>Perakitan Komponen Fabrikasi</v>
      </c>
      <c r="F1293" s="6" t="str">
        <f>IFERROR(__xludf.DUMMYFUNCTION("""COMPUTED_VALUE"""),"MUHAMMAD PUTRA FAJAR T. ")</f>
        <v>MUHAMMAD PUTRA FAJAR T. </v>
      </c>
      <c r="G1293" s="6" t="str">
        <f>IFERROR(__xludf.DUMMYFUNCTION("""COMPUTED_VALUE"""),"7405192209960001")</f>
        <v>7405192209960001</v>
      </c>
      <c r="J1293" s="7" t="str">
        <f>IFERROR(__xludf.DUMMYFUNCTION("""COMPUTED_VALUE"""),"LAKI-LAKI")</f>
        <v>LAKI-LAKI</v>
      </c>
      <c r="K1293" s="6" t="str">
        <f>IFERROR(__xludf.DUMMYFUNCTION("""COMPUTED_VALUE"""),"RT 002 RW 001,DESA MEKARSARI, KECAMATAN PALANGGA, KABUPATEN KONAWE SELATAN")</f>
        <v>RT 002 RW 001,DESA MEKARSARI, KECAMATAN PALANGGA, KABUPATEN KONAWE SELATAN</v>
      </c>
      <c r="R1293" s="7" t="str">
        <f>IFERROR(__xludf.DUMMYFUNCTION("""COMPUTED_VALUE"""),"K")</f>
        <v>K</v>
      </c>
    </row>
    <row r="1294" ht="22.5" customHeight="1">
      <c r="A1294" s="6">
        <v>1293.0</v>
      </c>
      <c r="B1294" s="6" t="str">
        <f>IFERROR(__xludf.DUMMYFUNCTION("""COMPUTED_VALUE"""),"Perakitan Komponen Fabrikasi")</f>
        <v>Perakitan Komponen Fabrikasi</v>
      </c>
      <c r="F1294" s="6" t="str">
        <f>IFERROR(__xludf.DUMMYFUNCTION("""COMPUTED_VALUE"""),"MUHAMAD ALHADY HASIB")</f>
        <v>MUHAMAD ALHADY HASIB</v>
      </c>
      <c r="G1294" s="6" t="str">
        <f>IFERROR(__xludf.DUMMYFUNCTION("""COMPUTED_VALUE"""),"9109012306030002")</f>
        <v>9109012306030002</v>
      </c>
      <c r="J1294" s="7" t="str">
        <f>IFERROR(__xludf.DUMMYFUNCTION("""COMPUTED_VALUE"""),"LAKI-LAKI")</f>
        <v>LAKI-LAKI</v>
      </c>
      <c r="K1294" s="6" t="str">
        <f>IFERROR(__xludf.DUMMYFUNCTION("""COMPUTED_VALUE"""),"JL. MARTADINATA NO 54, RT 003/ RW 002, KEL. BATULO, KECAMATAN WOLIO")</f>
        <v>JL. MARTADINATA NO 54, RT 003/ RW 002, KEL. BATULO, KECAMATAN WOLIO</v>
      </c>
      <c r="R1294" s="7" t="str">
        <f>IFERROR(__xludf.DUMMYFUNCTION("""COMPUTED_VALUE"""),"K")</f>
        <v>K</v>
      </c>
    </row>
    <row r="1295" ht="22.5" customHeight="1">
      <c r="A1295" s="6">
        <v>1294.0</v>
      </c>
      <c r="B1295" s="6" t="str">
        <f>IFERROR(__xludf.DUMMYFUNCTION("""COMPUTED_VALUE"""),"Perakitan Komponen Fabrikasi")</f>
        <v>Perakitan Komponen Fabrikasi</v>
      </c>
      <c r="F1295" s="6" t="str">
        <f>IFERROR(__xludf.DUMMYFUNCTION("""COMPUTED_VALUE"""),"ANDI RAHMAT HIDAYAT ")</f>
        <v>ANDI RAHMAT HIDAYAT </v>
      </c>
      <c r="G1295" s="6" t="str">
        <f>IFERROR(__xludf.DUMMYFUNCTION("""COMPUTED_VALUE"""),"7403140412030201")</f>
        <v>7403140412030201</v>
      </c>
      <c r="J1295" s="7" t="str">
        <f>IFERROR(__xludf.DUMMYFUNCTION("""COMPUTED_VALUE"""),"LAKI-LAKI")</f>
        <v>LAKI-LAKI</v>
      </c>
      <c r="K1295" s="6" t="str">
        <f>IFERROR(__xludf.DUMMYFUNCTION("""COMPUTED_VALUE"""),"KELURAHAN DANA, KECAMATAN WATOPUTE")</f>
        <v>KELURAHAN DANA, KECAMATAN WATOPUTE</v>
      </c>
      <c r="R1295" s="7" t="str">
        <f>IFERROR(__xludf.DUMMYFUNCTION("""COMPUTED_VALUE"""),"K")</f>
        <v>K</v>
      </c>
    </row>
    <row r="1296" ht="22.5" customHeight="1">
      <c r="A1296" s="6">
        <v>1295.0</v>
      </c>
      <c r="B1296" s="6" t="str">
        <f>IFERROR(__xludf.DUMMYFUNCTION("""COMPUTED_VALUE"""),"Perakitan Komponen Fabrikasi")</f>
        <v>Perakitan Komponen Fabrikasi</v>
      </c>
      <c r="F1296" s="6" t="str">
        <f>IFERROR(__xludf.DUMMYFUNCTION("""COMPUTED_VALUE"""),"KTT FERRY SP")</f>
        <v>KTT FERRY SP</v>
      </c>
      <c r="G1296" s="6" t="str">
        <f>IFERROR(__xludf.DUMMYFUNCTION("""COMPUTED_VALUE"""),"7471031809040001")</f>
        <v>7471031809040001</v>
      </c>
      <c r="J1296" s="7" t="str">
        <f>IFERROR(__xludf.DUMMYFUNCTION("""COMPUTED_VALUE"""),"LAKI-LAKI")</f>
        <v>LAKI-LAKI</v>
      </c>
      <c r="K1296" s="6" t="str">
        <f>IFERROR(__xludf.DUMMYFUNCTION("""COMPUTED_VALUE"""),"JL.KOSGORO")</f>
        <v>JL.KOSGORO</v>
      </c>
      <c r="R1296" s="7" t="str">
        <f>IFERROR(__xludf.DUMMYFUNCTION("""COMPUTED_VALUE"""),"BK")</f>
        <v>BK</v>
      </c>
    </row>
    <row r="1297" ht="22.5" customHeight="1">
      <c r="A1297" s="6">
        <v>1296.0</v>
      </c>
      <c r="B1297" s="6" t="str">
        <f>IFERROR(__xludf.DUMMYFUNCTION("""COMPUTED_VALUE"""),"Perakitan Komponen Fabrikasi")</f>
        <v>Perakitan Komponen Fabrikasi</v>
      </c>
      <c r="F1297" s="6" t="str">
        <f>IFERROR(__xludf.DUMMYFUNCTION("""COMPUTED_VALUE"""),"RAMLI")</f>
        <v>RAMLI</v>
      </c>
      <c r="G1297" s="6" t="str">
        <f>IFERROR(__xludf.DUMMYFUNCTION("""COMPUTED_VALUE"""),"7403322403070001")</f>
        <v>7403322403070001</v>
      </c>
      <c r="J1297" s="7" t="str">
        <f>IFERROR(__xludf.DUMMYFUNCTION("""COMPUTED_VALUE"""),"LAKI-LAKI")</f>
        <v>LAKI-LAKI</v>
      </c>
      <c r="K1297" s="6" t="str">
        <f>IFERROR(__xludf.DUMMYFUNCTION("""COMPUTED_VALUE"""),"DESA WALE ALE")</f>
        <v>DESA WALE ALE</v>
      </c>
      <c r="R1297" s="7" t="str">
        <f>IFERROR(__xludf.DUMMYFUNCTION("""COMPUTED_VALUE"""),"BK")</f>
        <v>BK</v>
      </c>
    </row>
    <row r="1298" ht="22.5" customHeight="1">
      <c r="A1298" s="6">
        <v>1297.0</v>
      </c>
      <c r="B1298" s="6" t="str">
        <f>IFERROR(__xludf.DUMMYFUNCTION("""COMPUTED_VALUE"""),"Perakitan Komponen Fabrikasi")</f>
        <v>Perakitan Komponen Fabrikasi</v>
      </c>
      <c r="F1298" s="6" t="str">
        <f>IFERROR(__xludf.DUMMYFUNCTION("""COMPUTED_VALUE"""),"SATRIA LEGI AWAL")</f>
        <v>SATRIA LEGI AWAL</v>
      </c>
      <c r="G1298" s="6" t="str">
        <f>IFERROR(__xludf.DUMMYFUNCTION("""COMPUTED_VALUE"""),"7471051311930001")</f>
        <v>7471051311930001</v>
      </c>
      <c r="J1298" s="7" t="str">
        <f>IFERROR(__xludf.DUMMYFUNCTION("""COMPUTED_VALUE"""),"LAKI-LAKI")</f>
        <v>LAKI-LAKI</v>
      </c>
      <c r="K1298" s="6" t="str">
        <f>IFERROR(__xludf.DUMMYFUNCTION("""COMPUTED_VALUE"""),"JL. DR MOH HATTA NO.8J")</f>
        <v>JL. DR MOH HATTA NO.8J</v>
      </c>
      <c r="R1298" s="7" t="str">
        <f>IFERROR(__xludf.DUMMYFUNCTION("""COMPUTED_VALUE"""),"K")</f>
        <v>K</v>
      </c>
    </row>
    <row r="1299" ht="22.5" customHeight="1">
      <c r="A1299" s="6">
        <v>1298.0</v>
      </c>
      <c r="B1299" s="6" t="str">
        <f>IFERROR(__xludf.DUMMYFUNCTION("""COMPUTED_VALUE"""),"Perakitan Komponen Fabrikasi")</f>
        <v>Perakitan Komponen Fabrikasi</v>
      </c>
      <c r="F1299" s="6" t="str">
        <f>IFERROR(__xludf.DUMMYFUNCTION("""COMPUTED_VALUE"""),"AHMAD GUSTAM ")</f>
        <v>AHMAD GUSTAM </v>
      </c>
      <c r="G1299" s="6" t="str">
        <f>IFERROR(__xludf.DUMMYFUNCTION("""COMPUTED_VALUE"""),"7485181208010002")</f>
        <v>7485181208010002</v>
      </c>
      <c r="J1299" s="7" t="str">
        <f>IFERROR(__xludf.DUMMYFUNCTION("""COMPUTED_VALUE"""),"LAKI-LAKI")</f>
        <v>LAKI-LAKI</v>
      </c>
      <c r="K1299" s="6" t="str">
        <f>IFERROR(__xludf.DUMMYFUNCTION("""COMPUTED_VALUE"""),"DESA AOMA KEC,WOLASI KAB,KONAWE SELATAN ")</f>
        <v>DESA AOMA KEC,WOLASI KAB,KONAWE SELATAN </v>
      </c>
      <c r="R1299" s="7" t="str">
        <f>IFERROR(__xludf.DUMMYFUNCTION("""COMPUTED_VALUE"""),"K")</f>
        <v>K</v>
      </c>
    </row>
    <row r="1300" ht="22.5" customHeight="1">
      <c r="A1300" s="6">
        <v>1299.0</v>
      </c>
      <c r="B1300" s="6" t="str">
        <f>IFERROR(__xludf.DUMMYFUNCTION("""COMPUTED_VALUE"""),"Perakitan Komponen Fabrikasi")</f>
        <v>Perakitan Komponen Fabrikasi</v>
      </c>
      <c r="F1300" s="6" t="str">
        <f>IFERROR(__xludf.DUMMYFUNCTION("""COMPUTED_VALUE"""),"SLAMET MULYONO ")</f>
        <v>SLAMET MULYONO </v>
      </c>
      <c r="G1300" s="6" t="str">
        <f>IFERROR(__xludf.DUMMYFUNCTION("""COMPUTED_VALUE"""),"7405081711710001")</f>
        <v>7405081711710001</v>
      </c>
      <c r="J1300" s="7" t="str">
        <f>IFERROR(__xludf.DUMMYFUNCTION("""COMPUTED_VALUE"""),"LAKI-LAKI")</f>
        <v>LAKI-LAKI</v>
      </c>
      <c r="K1300" s="6" t="str">
        <f>IFERROR(__xludf.DUMMYFUNCTION("""COMPUTED_VALUE"""),"BTN SILVA MAS BLOKA/9
KELURAHAN MOKOAU 
KECAMATAN KAMBU 
KOTA KENDARI 
SULAWESI TENGGARA ")</f>
        <v>BTN SILVA MAS BLOKA/9
KELURAHAN MOKOAU 
KECAMATAN KAMBU 
KOTA KENDARI 
SULAWESI TENGGARA </v>
      </c>
      <c r="R1300" s="7" t="str">
        <f>IFERROR(__xludf.DUMMYFUNCTION("""COMPUTED_VALUE"""),"K")</f>
        <v>K</v>
      </c>
    </row>
    <row r="1301" ht="22.5" customHeight="1">
      <c r="A1301" s="6">
        <v>1300.0</v>
      </c>
      <c r="B1301" s="6" t="str">
        <f>IFERROR(__xludf.DUMMYFUNCTION("""COMPUTED_VALUE"""),"Perakitan Komponen Fabrikasi")</f>
        <v>Perakitan Komponen Fabrikasi</v>
      </c>
      <c r="F1301" s="6" t="str">
        <f>IFERROR(__xludf.DUMMYFUNCTION("""COMPUTED_VALUE"""),"FADLI APRIYANTO ")</f>
        <v>FADLI APRIYANTO </v>
      </c>
      <c r="G1301" s="6" t="str">
        <f>IFERROR(__xludf.DUMMYFUNCTION("""COMPUTED_VALUE"""),"7471090422060002")</f>
        <v>7471090422060002</v>
      </c>
      <c r="J1301" s="7" t="str">
        <f>IFERROR(__xludf.DUMMYFUNCTION("""COMPUTED_VALUE"""),"LAKI-LAKI")</f>
        <v>LAKI-LAKI</v>
      </c>
      <c r="K1301" s="6" t="str">
        <f>IFERROR(__xludf.DUMMYFUNCTION("""COMPUTED_VALUE"""),"JL. HAEBA UJUNG ")</f>
        <v>JL. HAEBA UJUNG </v>
      </c>
      <c r="R1301" s="7" t="str">
        <f>IFERROR(__xludf.DUMMYFUNCTION("""COMPUTED_VALUE"""),"K")</f>
        <v>K</v>
      </c>
    </row>
    <row r="1302" ht="22.5" customHeight="1">
      <c r="A1302" s="6">
        <v>1301.0</v>
      </c>
      <c r="B1302" s="6" t="str">
        <f>IFERROR(__xludf.DUMMYFUNCTION("""COMPUTED_VALUE"""),"Perakitan Komponen Fabrikasi")</f>
        <v>Perakitan Komponen Fabrikasi</v>
      </c>
      <c r="F1302" s="6" t="str">
        <f>IFERROR(__xludf.DUMMYFUNCTION("""COMPUTED_VALUE"""),"FAUZI")</f>
        <v>FAUZI</v>
      </c>
      <c r="G1302" s="6" t="str">
        <f>IFERROR(__xludf.DUMMYFUNCTION("""COMPUTED_VALUE"""),"7404192505080001")</f>
        <v>7404192505080001</v>
      </c>
      <c r="J1302" s="7" t="str">
        <f>IFERROR(__xludf.DUMMYFUNCTION("""COMPUTED_VALUE"""),"LAKI-LAKI")</f>
        <v>LAKI-LAKI</v>
      </c>
      <c r="K1302" s="6" t="str">
        <f>IFERROR(__xludf.DUMMYFUNCTION("""COMPUTED_VALUE"""),"WAWOLAA")</f>
        <v>WAWOLAA</v>
      </c>
      <c r="R1302" s="7" t="str">
        <f>IFERROR(__xludf.DUMMYFUNCTION("""COMPUTED_VALUE"""),"K")</f>
        <v>K</v>
      </c>
    </row>
    <row r="1303" ht="22.5" customHeight="1">
      <c r="A1303" s="6">
        <v>1302.0</v>
      </c>
      <c r="B1303" s="6" t="str">
        <f>IFERROR(__xludf.DUMMYFUNCTION("""COMPUTED_VALUE"""),"Perakitan Komponen Fabrikasi")</f>
        <v>Perakitan Komponen Fabrikasi</v>
      </c>
      <c r="F1303" s="6" t="str">
        <f>IFERROR(__xludf.DUMMYFUNCTION("""COMPUTED_VALUE"""),"HIDAYAT AKBAR ")</f>
        <v>HIDAYAT AKBAR </v>
      </c>
      <c r="G1303" s="6" t="str">
        <f>IFERROR(__xludf.DUMMYFUNCTION("""COMPUTED_VALUE"""),"7471071311080002")</f>
        <v>7471071311080002</v>
      </c>
      <c r="J1303" s="7" t="str">
        <f>IFERROR(__xludf.DUMMYFUNCTION("""COMPUTED_VALUE"""),"LAKI-LAKI")</f>
        <v>LAKI-LAKI</v>
      </c>
      <c r="K1303" s="6" t="str">
        <f>IFERROR(__xludf.DUMMYFUNCTION("""COMPUTED_VALUE"""),"JL. TUNGGALA II")</f>
        <v>JL. TUNGGALA II</v>
      </c>
      <c r="R1303" s="7" t="str">
        <f>IFERROR(__xludf.DUMMYFUNCTION("""COMPUTED_VALUE"""),"BK")</f>
        <v>BK</v>
      </c>
    </row>
    <row r="1304" ht="22.5" customHeight="1">
      <c r="A1304" s="6">
        <v>1303.0</v>
      </c>
      <c r="B1304" s="6" t="str">
        <f>IFERROR(__xludf.DUMMYFUNCTION("""COMPUTED_VALUE"""),"Perakitan Komponen Fabrikasi")</f>
        <v>Perakitan Komponen Fabrikasi</v>
      </c>
      <c r="F1304" s="6" t="str">
        <f>IFERROR(__xludf.DUMMYFUNCTION("""COMPUTED_VALUE"""),"WAYAN ARYANDIKA ")</f>
        <v>WAYAN ARYANDIKA </v>
      </c>
      <c r="G1304" s="6" t="str">
        <f>IFERROR(__xludf.DUMMYFUNCTION("""COMPUTED_VALUE"""),"7405010506080001")</f>
        <v>7405010506080001</v>
      </c>
      <c r="J1304" s="7" t="str">
        <f>IFERROR(__xludf.DUMMYFUNCTION("""COMPUTED_VALUE"""),"LAKI-LAKI")</f>
        <v>LAKI-LAKI</v>
      </c>
      <c r="K1304" s="6" t="str">
        <f>IFERROR(__xludf.DUMMYFUNCTION("""COMPUTED_VALUE"""),"LASUAI,KEC.TINAGGEA,KAB.KONAWE SELATAN")</f>
        <v>LASUAI,KEC.TINAGGEA,KAB.KONAWE SELATAN</v>
      </c>
      <c r="R1304" s="7" t="str">
        <f>IFERROR(__xludf.DUMMYFUNCTION("""COMPUTED_VALUE"""),"K")</f>
        <v>K</v>
      </c>
    </row>
    <row r="1305" ht="22.5" customHeight="1">
      <c r="A1305" s="6">
        <v>1304.0</v>
      </c>
      <c r="B1305" s="6" t="str">
        <f>IFERROR(__xludf.DUMMYFUNCTION("""COMPUTED_VALUE"""),"Perakitan Komponen Fabrikasi")</f>
        <v>Perakitan Komponen Fabrikasi</v>
      </c>
      <c r="F1305" s="6" t="str">
        <f>IFERROR(__xludf.DUMMYFUNCTION("""COMPUTED_VALUE"""),"PUTU NESTA AGUS PERMANA ")</f>
        <v>PUTU NESTA AGUS PERMANA </v>
      </c>
      <c r="G1305" s="6" t="str">
        <f>IFERROR(__xludf.DUMMYFUNCTION("""COMPUTED_VALUE"""),"7405053108070002")</f>
        <v>7405053108070002</v>
      </c>
      <c r="J1305" s="7" t="str">
        <f>IFERROR(__xludf.DUMMYFUNCTION("""COMPUTED_VALUE"""),"LAKI-LAKI")</f>
        <v>LAKI-LAKI</v>
      </c>
      <c r="K1305" s="6" t="str">
        <f>IFERROR(__xludf.DUMMYFUNCTION("""COMPUTED_VALUE"""),"DUSU 11")</f>
        <v>DUSU 11</v>
      </c>
      <c r="R1305" s="7" t="str">
        <f>IFERROR(__xludf.DUMMYFUNCTION("""COMPUTED_VALUE"""),"-")</f>
        <v>-</v>
      </c>
    </row>
    <row r="1306" ht="22.5" customHeight="1">
      <c r="A1306" s="6">
        <v>1305.0</v>
      </c>
      <c r="B1306" s="6" t="str">
        <f>IFERROR(__xludf.DUMMYFUNCTION("""COMPUTED_VALUE"""),"Perakitan Komponen Fabrikasi")</f>
        <v>Perakitan Komponen Fabrikasi</v>
      </c>
      <c r="F1306" s="6" t="str">
        <f>IFERROR(__xludf.DUMMYFUNCTION("""COMPUTED_VALUE"""),"JUMAR PRATAMA AL HABIB")</f>
        <v>JUMAR PRATAMA AL HABIB</v>
      </c>
      <c r="G1306" s="6" t="str">
        <f>IFERROR(__xludf.DUMMYFUNCTION("""COMPUTED_VALUE"""),"7472050109000001")</f>
        <v>7472050109000001</v>
      </c>
      <c r="J1306" s="7" t="str">
        <f>IFERROR(__xludf.DUMMYFUNCTION("""COMPUTED_VALUE"""),"LAKI-LAKI")</f>
        <v>LAKI-LAKI</v>
      </c>
      <c r="K1306" s="6" t="str">
        <f>IFERROR(__xludf.DUMMYFUNCTION("""COMPUTED_VALUE"""),"BTN PERMATA ANAWAI")</f>
        <v>BTN PERMATA ANAWAI</v>
      </c>
      <c r="R1306" s="7" t="str">
        <f>IFERROR(__xludf.DUMMYFUNCTION("""COMPUTED_VALUE"""),"BK")</f>
        <v>BK</v>
      </c>
    </row>
    <row r="1307" ht="22.5" customHeight="1">
      <c r="A1307" s="6">
        <v>1306.0</v>
      </c>
      <c r="B1307" s="6" t="str">
        <f>IFERROR(__xludf.DUMMYFUNCTION("""COMPUTED_VALUE"""),"Perakitan Komponen Fabrikasi")</f>
        <v>Perakitan Komponen Fabrikasi</v>
      </c>
      <c r="F1307" s="6" t="str">
        <f>IFERROR(__xludf.DUMMYFUNCTION("""COMPUTED_VALUE"""),"MIRAD TRI AGUS SETIAWAN ")</f>
        <v>MIRAD TRI AGUS SETIAWAN </v>
      </c>
      <c r="G1307" s="6" t="str">
        <f>IFERROR(__xludf.DUMMYFUNCTION("""COMPUTED_VALUE"""),"7402030708070001")</f>
        <v>7402030708070001</v>
      </c>
      <c r="J1307" s="7" t="str">
        <f>IFERROR(__xludf.DUMMYFUNCTION("""COMPUTED_VALUE"""),"LAKI-LAKI")</f>
        <v>LAKI-LAKI</v>
      </c>
      <c r="K1307" s="6" t="str">
        <f>IFERROR(__xludf.DUMMYFUNCTION("""COMPUTED_VALUE"""),"KULAHI WAWOTOBI ")</f>
        <v>KULAHI WAWOTOBI </v>
      </c>
      <c r="R1307" s="7" t="str">
        <f>IFERROR(__xludf.DUMMYFUNCTION("""COMPUTED_VALUE"""),"BK")</f>
        <v>BK</v>
      </c>
    </row>
    <row r="1308" ht="22.5" customHeight="1">
      <c r="A1308" s="6">
        <v>1307.0</v>
      </c>
      <c r="B1308" s="6" t="str">
        <f>IFERROR(__xludf.DUMMYFUNCTION("""COMPUTED_VALUE"""),"Perakitan Komponen Fabrikasi")</f>
        <v>Perakitan Komponen Fabrikasi</v>
      </c>
      <c r="F1308" s="6" t="str">
        <f>IFERROR(__xludf.DUMMYFUNCTION("""COMPUTED_VALUE"""),"MAELANI")</f>
        <v>MAELANI</v>
      </c>
      <c r="G1308" s="6" t="str">
        <f>IFERROR(__xludf.DUMMYFUNCTION("""COMPUTED_VALUE"""),"7472962610050003")</f>
        <v>7472962610050003</v>
      </c>
      <c r="J1308" s="7" t="str">
        <f>IFERROR(__xludf.DUMMYFUNCTION("""COMPUTED_VALUE"""),"LAKI-LAKI")</f>
        <v>LAKI-LAKI</v>
      </c>
      <c r="K1308" s="6" t="str">
        <f>IFERROR(__xludf.DUMMYFUNCTION("""COMPUTED_VALUE"""),"LINGKUNGAN BARIYA")</f>
        <v>LINGKUNGAN BARIYA</v>
      </c>
      <c r="R1308" s="7" t="str">
        <f>IFERROR(__xludf.DUMMYFUNCTION("""COMPUTED_VALUE"""),"K")</f>
        <v>K</v>
      </c>
    </row>
    <row r="1309" ht="22.5" customHeight="1">
      <c r="A1309" s="6">
        <v>1308.0</v>
      </c>
      <c r="B1309" s="6" t="str">
        <f>IFERROR(__xludf.DUMMYFUNCTION("""COMPUTED_VALUE"""),"Perakitan Komponen Fabrikasi")</f>
        <v>Perakitan Komponen Fabrikasi</v>
      </c>
      <c r="F1309" s="6" t="str">
        <f>IFERROR(__xludf.DUMMYFUNCTION("""COMPUTED_VALUE"""),"IRFA ARDIANTO")</f>
        <v>IRFA ARDIANTO</v>
      </c>
      <c r="G1309" s="6" t="str">
        <f>IFERROR(__xludf.DUMMYFUNCTION("""COMPUTED_VALUE"""),"7405101703010001")</f>
        <v>7405101703010001</v>
      </c>
      <c r="J1309" s="7" t="str">
        <f>IFERROR(__xludf.DUMMYFUNCTION("""COMPUTED_VALUE"""),"LAKI-LAKI")</f>
        <v>LAKI-LAKI</v>
      </c>
      <c r="K1309" s="6" t="str">
        <f>IFERROR(__xludf.DUMMYFUNCTION("""COMPUTED_VALUE"""),"DESA MARGACINTA, KEC. MORAMO, KAB. KONAWE SELATAN")</f>
        <v>DESA MARGACINTA, KEC. MORAMO, KAB. KONAWE SELATAN</v>
      </c>
      <c r="R1309" s="7" t="str">
        <f>IFERROR(__xludf.DUMMYFUNCTION("""COMPUTED_VALUE"""),"K")</f>
        <v>K</v>
      </c>
    </row>
    <row r="1310" ht="22.5" customHeight="1">
      <c r="A1310" s="6">
        <v>1309.0</v>
      </c>
      <c r="B1310" s="6" t="str">
        <f>IFERROR(__xludf.DUMMYFUNCTION("""COMPUTED_VALUE"""),"Perakitan Komponen Fabrikasi")</f>
        <v>Perakitan Komponen Fabrikasi</v>
      </c>
      <c r="F1310" s="6" t="str">
        <f>IFERROR(__xludf.DUMMYFUNCTION("""COMPUTED_VALUE"""),"ADI RAHMAN")</f>
        <v>ADI RAHMAN</v>
      </c>
      <c r="G1310" s="6" t="str">
        <f>IFERROR(__xludf.DUMMYFUNCTION("""COMPUTED_VALUE"""),"9171031303070005")</f>
        <v>9171031303070005</v>
      </c>
      <c r="J1310" s="7" t="str">
        <f>IFERROR(__xludf.DUMMYFUNCTION("""COMPUTED_VALUE"""),"LAKI-LAKI")</f>
        <v>LAKI-LAKI</v>
      </c>
      <c r="K1310" s="6" t="str">
        <f>IFERROR(__xludf.DUMMYFUNCTION("""COMPUTED_VALUE"""),"ASDIM. KAMPUNG SALO ")</f>
        <v>ASDIM. KAMPUNG SALO </v>
      </c>
      <c r="R1310" s="7" t="str">
        <f>IFERROR(__xludf.DUMMYFUNCTION("""COMPUTED_VALUE"""),"K")</f>
        <v>K</v>
      </c>
    </row>
    <row r="1311" ht="22.5" customHeight="1">
      <c r="A1311" s="6">
        <v>1310.0</v>
      </c>
      <c r="B1311" s="6" t="str">
        <f>IFERROR(__xludf.DUMMYFUNCTION("""COMPUTED_VALUE"""),"Perakitan Komponen Fabrikasi")</f>
        <v>Perakitan Komponen Fabrikasi</v>
      </c>
      <c r="F1311" s="6" t="str">
        <f>IFERROR(__xludf.DUMMYFUNCTION("""COMPUTED_VALUE"""),"ANGGA LOGIS SAPUTRA")</f>
        <v>ANGGA LOGIS SAPUTRA</v>
      </c>
      <c r="G1311" s="6" t="str">
        <f>IFERROR(__xludf.DUMMYFUNCTION("""COMPUTED_VALUE"""),"7411012906050001")</f>
        <v>7411012906050001</v>
      </c>
      <c r="J1311" s="7" t="str">
        <f>IFERROR(__xludf.DUMMYFUNCTION("""COMPUTED_VALUE"""),"LAKI-LAKI")</f>
        <v>LAKI-LAKI</v>
      </c>
      <c r="K1311" s="6" t="str">
        <f>IFERROR(__xludf.DUMMYFUNCTION("""COMPUTED_VALUE"""),"DESA AHUAWATU")</f>
        <v>DESA AHUAWATU</v>
      </c>
      <c r="R1311" s="7" t="str">
        <f>IFERROR(__xludf.DUMMYFUNCTION("""COMPUTED_VALUE"""),"K")</f>
        <v>K</v>
      </c>
    </row>
    <row r="1312" ht="22.5" customHeight="1">
      <c r="A1312" s="6">
        <v>1311.0</v>
      </c>
      <c r="B1312" s="6" t="str">
        <f>IFERROR(__xludf.DUMMYFUNCTION("""COMPUTED_VALUE"""),"Perakitan Komponen Fabrikasi")</f>
        <v>Perakitan Komponen Fabrikasi</v>
      </c>
      <c r="F1312" s="6" t="str">
        <f>IFERROR(__xludf.DUMMYFUNCTION("""COMPUTED_VALUE"""),"SAID KURNIAWAN")</f>
        <v>SAID KURNIAWAN</v>
      </c>
      <c r="G1312" s="6" t="str">
        <f>IFERROR(__xludf.DUMMYFUNCTION("""COMPUTED_VALUE"""),"7,47106E+15")</f>
        <v>7,47106E+15</v>
      </c>
      <c r="J1312" s="7" t="str">
        <f>IFERROR(__xludf.DUMMYFUNCTION("""COMPUTED_VALUE"""),"LAKI-LAKI")</f>
        <v>LAKI-LAKI</v>
      </c>
      <c r="K1312" s="6" t="str">
        <f>IFERROR(__xludf.DUMMYFUNCTION("""COMPUTED_VALUE"""),"SAMBULI, JL. CUT NYAK DIEN,")</f>
        <v>SAMBULI, JL. CUT NYAK DIEN,</v>
      </c>
      <c r="R1312" s="7" t="str">
        <f>IFERROR(__xludf.DUMMYFUNCTION("""COMPUTED_VALUE"""),"BK")</f>
        <v>BK</v>
      </c>
    </row>
    <row r="1313" ht="22.5" customHeight="1">
      <c r="A1313" s="6">
        <v>1312.0</v>
      </c>
      <c r="B1313" s="6" t="str">
        <f>IFERROR(__xludf.DUMMYFUNCTION("""COMPUTED_VALUE"""),"Perakitan Komponen Fabrikasi")</f>
        <v>Perakitan Komponen Fabrikasi</v>
      </c>
      <c r="F1313" s="6" t="str">
        <f>IFERROR(__xludf.DUMMYFUNCTION("""COMPUTED_VALUE"""),"Nicky Mulya Firdaus. D")</f>
        <v>Nicky Mulya Firdaus. D</v>
      </c>
      <c r="G1313" s="6" t="str">
        <f>IFERROR(__xludf.DUMMYFUNCTION("""COMPUTED_VALUE"""),"7471032204070003")</f>
        <v>7471032204070003</v>
      </c>
      <c r="J1313" s="7" t="str">
        <f>IFERROR(__xludf.DUMMYFUNCTION("""COMPUTED_VALUE"""),"LAKI-LAKI")</f>
        <v>LAKI-LAKI</v>
      </c>
      <c r="K1313" s="6" t="str">
        <f>IFERROR(__xludf.DUMMYFUNCTION("""COMPUTED_VALUE"""),"Lepo- Lepo, Kec. Baruga , Kota Kendari")</f>
        <v>Lepo- Lepo, Kec. Baruga , Kota Kendari</v>
      </c>
      <c r="R1313" s="7" t="str">
        <f>IFERROR(__xludf.DUMMYFUNCTION("""COMPUTED_VALUE"""),"K")</f>
        <v>K</v>
      </c>
    </row>
    <row r="1314" ht="22.5" customHeight="1">
      <c r="A1314" s="6">
        <v>1313.0</v>
      </c>
      <c r="B1314" s="6" t="str">
        <f>IFERROR(__xludf.DUMMYFUNCTION("""COMPUTED_VALUE"""),"Perakitan Komponen Fabrikasi")</f>
        <v>Perakitan Komponen Fabrikasi</v>
      </c>
      <c r="F1314" s="6" t="str">
        <f>IFERROR(__xludf.DUMMYFUNCTION("""COMPUTED_VALUE"""),"Adi Irawan Azhar")</f>
        <v>Adi Irawan Azhar</v>
      </c>
      <c r="G1314" s="6" t="str">
        <f>IFERROR(__xludf.DUMMYFUNCTION("""COMPUTED_VALUE"""),"7471041503000002")</f>
        <v>7471041503000002</v>
      </c>
      <c r="J1314" s="7" t="str">
        <f>IFERROR(__xludf.DUMMYFUNCTION("""COMPUTED_VALUE"""),"LAKI-LAKI")</f>
        <v>LAKI-LAKI</v>
      </c>
      <c r="K1314" s="6" t="str">
        <f>IFERROR(__xludf.DUMMYFUNCTION("""COMPUTED_VALUE"""),"KECAMATAN POASIA KOTA KENDARI")</f>
        <v>KECAMATAN POASIA KOTA KENDARI</v>
      </c>
      <c r="R1314" s="7" t="str">
        <f>IFERROR(__xludf.DUMMYFUNCTION("""COMPUTED_VALUE"""),"-")</f>
        <v>-</v>
      </c>
    </row>
    <row r="1315" ht="22.5" customHeight="1">
      <c r="A1315" s="6">
        <v>1314.0</v>
      </c>
      <c r="B1315" s="6" t="str">
        <f>IFERROR(__xludf.DUMMYFUNCTION("""COMPUTED_VALUE"""),"Perakitan Komponen Fabrikasi")</f>
        <v>Perakitan Komponen Fabrikasi</v>
      </c>
      <c r="F1315" s="6" t="str">
        <f>IFERROR(__xludf.DUMMYFUNCTION("""COMPUTED_VALUE"""),"La Sukuru")</f>
        <v>La Sukuru</v>
      </c>
      <c r="G1315" s="6" t="str">
        <f>IFERROR(__xludf.DUMMYFUNCTION("""COMPUTED_VALUE"""),"7404070901050001")</f>
        <v>7404070901050001</v>
      </c>
      <c r="J1315" s="7" t="str">
        <f>IFERROR(__xludf.DUMMYFUNCTION("""COMPUTED_VALUE"""),"LAKI-LAKI")</f>
        <v>LAKI-LAKI</v>
      </c>
      <c r="K1315" s="6" t="str">
        <f>IFERROR(__xludf.DUMMYFUNCTION("""COMPUTED_VALUE"""),"One Waara, Kec. Lakudo, Kab.Buton Tenga")</f>
        <v>One Waara, Kec. Lakudo, Kab.Buton Tenga</v>
      </c>
      <c r="R1315" s="7" t="str">
        <f>IFERROR(__xludf.DUMMYFUNCTION("""COMPUTED_VALUE"""),"K")</f>
        <v>K</v>
      </c>
    </row>
    <row r="1316" ht="22.5" customHeight="1">
      <c r="A1316" s="6">
        <v>1315.0</v>
      </c>
      <c r="B1316" s="6" t="str">
        <f>IFERROR(__xludf.DUMMYFUNCTION("""COMPUTED_VALUE"""),"Produktivitas Jenjang 5")</f>
        <v>Produktivitas Jenjang 5</v>
      </c>
      <c r="F1316" s="6" t="str">
        <f>IFERROR(__xludf.DUMMYFUNCTION("""COMPUTED_VALUE"""),"FAIZAL HASTA AHMADANI")</f>
        <v>FAIZAL HASTA AHMADANI</v>
      </c>
      <c r="G1316" s="6" t="str">
        <f>IFERROR(__xludf.DUMMYFUNCTION("""COMPUTED_VALUE"""),"3573011312010009")</f>
        <v>3573011312010009</v>
      </c>
      <c r="J1316" s="7" t="str">
        <f>IFERROR(__xludf.DUMMYFUNCTION("""COMPUTED_VALUE"""),"LAKI-LAKI")</f>
        <v>LAKI-LAKI</v>
      </c>
      <c r="K1316" s="6" t="str">
        <f>IFERROR(__xludf.DUMMYFUNCTION("""COMPUTED_VALUE"""),"BTN MUTIARA GEMILANG BLOK H NO.15, POASIA")</f>
        <v>BTN MUTIARA GEMILANG BLOK H NO.15, POASIA</v>
      </c>
      <c r="R1316" s="7" t="str">
        <f>IFERROR(__xludf.DUMMYFUNCTION("""COMPUTED_VALUE"""),"K")</f>
        <v>K</v>
      </c>
    </row>
    <row r="1317" ht="22.5" customHeight="1">
      <c r="A1317" s="6">
        <v>1316.0</v>
      </c>
      <c r="B1317" s="6" t="str">
        <f>IFERROR(__xludf.DUMMYFUNCTION("""COMPUTED_VALUE"""),"Produktivitas Jenjang 5")</f>
        <v>Produktivitas Jenjang 5</v>
      </c>
      <c r="F1317" s="6" t="str">
        <f>IFERROR(__xludf.DUMMYFUNCTION("""COMPUTED_VALUE"""),"KHOLIDA AL TAQIYA")</f>
        <v>KHOLIDA AL TAQIYA</v>
      </c>
      <c r="G1317" s="6" t="str">
        <f>IFERROR(__xludf.DUMMYFUNCTION("""COMPUTED_VALUE"""),"3175075802050009")</f>
        <v>3175075802050009</v>
      </c>
      <c r="J1317" s="7" t="str">
        <f>IFERROR(__xludf.DUMMYFUNCTION("""COMPUTED_VALUE"""),"PEREMPUAN")</f>
        <v>PEREMPUAN</v>
      </c>
      <c r="K1317" s="6" t="str">
        <f>IFERROR(__xludf.DUMMYFUNCTION("""COMPUTED_VALUE"""),"BYPASS")</f>
        <v>BYPASS</v>
      </c>
      <c r="R1317" s="7" t="str">
        <f>IFERROR(__xludf.DUMMYFUNCTION("""COMPUTED_VALUE"""),"K")</f>
        <v>K</v>
      </c>
    </row>
    <row r="1318" ht="22.5" customHeight="1">
      <c r="A1318" s="6">
        <v>1317.0</v>
      </c>
      <c r="B1318" s="6" t="str">
        <f>IFERROR(__xludf.DUMMYFUNCTION("""COMPUTED_VALUE"""),"Produktivitas Jenjang 5")</f>
        <v>Produktivitas Jenjang 5</v>
      </c>
      <c r="F1318" s="6" t="str">
        <f>IFERROR(__xludf.DUMMYFUNCTION("""COMPUTED_VALUE"""),"IKA DIANPRIMAWATY ADO")</f>
        <v>IKA DIANPRIMAWATY ADO</v>
      </c>
      <c r="G1318" s="6" t="str">
        <f>IFERROR(__xludf.DUMMYFUNCTION("""COMPUTED_VALUE"""),"7471046108890003")</f>
        <v>7471046108890003</v>
      </c>
      <c r="J1318" s="7" t="str">
        <f>IFERROR(__xludf.DUMMYFUNCTION("""COMPUTED_VALUE"""),"PEREMPUAN")</f>
        <v>PEREMPUAN</v>
      </c>
      <c r="K1318" s="6" t="str">
        <f>IFERROR(__xludf.DUMMYFUNCTION("""COMPUTED_VALUE"""),"BTN. MAHKOTA HIJAU ")</f>
        <v>BTN. MAHKOTA HIJAU </v>
      </c>
      <c r="R1318" s="7" t="str">
        <f>IFERROR(__xludf.DUMMYFUNCTION("""COMPUTED_VALUE"""),"K")</f>
        <v>K</v>
      </c>
    </row>
    <row r="1319" ht="22.5" customHeight="1">
      <c r="A1319" s="6">
        <v>1318.0</v>
      </c>
      <c r="B1319" s="6" t="str">
        <f>IFERROR(__xludf.DUMMYFUNCTION("""COMPUTED_VALUE"""),"Produktivitas Jenjang 5")</f>
        <v>Produktivitas Jenjang 5</v>
      </c>
      <c r="F1319" s="6" t="str">
        <f>IFERROR(__xludf.DUMMYFUNCTION("""COMPUTED_VALUE"""),"SYAHRIN")</f>
        <v>SYAHRIN</v>
      </c>
      <c r="G1319" s="6" t="str">
        <f>IFERROR(__xludf.DUMMYFUNCTION("""COMPUTED_VALUE"""),"7471022607020001")</f>
        <v>7471022607020001</v>
      </c>
      <c r="J1319" s="7" t="str">
        <f>IFERROR(__xludf.DUMMYFUNCTION("""COMPUTED_VALUE"""),"LAKI-LAKI")</f>
        <v>LAKI-LAKI</v>
      </c>
      <c r="K1319" s="6" t="str">
        <f>IFERROR(__xludf.DUMMYFUNCTION("""COMPUTED_VALUE"""),"KEL. MANGGA DUA")</f>
        <v>KEL. MANGGA DUA</v>
      </c>
      <c r="R1319" s="7" t="str">
        <f>IFERROR(__xludf.DUMMYFUNCTION("""COMPUTED_VALUE"""),"BK")</f>
        <v>BK</v>
      </c>
    </row>
    <row r="1320" ht="22.5" customHeight="1">
      <c r="A1320" s="6">
        <v>1319.0</v>
      </c>
      <c r="B1320" s="6" t="str">
        <f>IFERROR(__xludf.DUMMYFUNCTION("""COMPUTED_VALUE"""),"Produktivitas Jenjang 5")</f>
        <v>Produktivitas Jenjang 5</v>
      </c>
      <c r="F1320" s="6" t="str">
        <f>IFERROR(__xludf.DUMMYFUNCTION("""COMPUTED_VALUE"""),"KARTIKA")</f>
        <v>KARTIKA</v>
      </c>
      <c r="G1320" s="6" t="str">
        <f>IFERROR(__xludf.DUMMYFUNCTION("""COMPUTED_VALUE"""),"7471056108980002")</f>
        <v>7471056108980002</v>
      </c>
      <c r="J1320" s="7" t="str">
        <f>IFERROR(__xludf.DUMMYFUNCTION("""COMPUTED_VALUE"""),"PEREMPUAN")</f>
        <v>PEREMPUAN</v>
      </c>
      <c r="K1320" s="6" t="str">
        <f>IFERROR(__xludf.DUMMYFUNCTION("""COMPUTED_VALUE"""),"JL.DR MOH HATTA")</f>
        <v>JL.DR MOH HATTA</v>
      </c>
      <c r="R1320" s="7" t="str">
        <f>IFERROR(__xludf.DUMMYFUNCTION("""COMPUTED_VALUE"""),"K")</f>
        <v>K</v>
      </c>
    </row>
    <row r="1321" ht="22.5" customHeight="1">
      <c r="A1321" s="6">
        <v>1320.0</v>
      </c>
      <c r="B1321" s="6" t="str">
        <f>IFERROR(__xludf.DUMMYFUNCTION("""COMPUTED_VALUE"""),"Produktivitas Jenjang 5")</f>
        <v>Produktivitas Jenjang 5</v>
      </c>
      <c r="F1321" s="6" t="str">
        <f>IFERROR(__xludf.DUMMYFUNCTION("""COMPUTED_VALUE"""),"RODAN HADID QOT'AN BAHARA")</f>
        <v>RODAN HADID QOT'AN BAHARA</v>
      </c>
      <c r="G1321" s="6" t="str">
        <f>IFERROR(__xludf.DUMMYFUNCTION("""COMPUTED_VALUE"""),"3578141107010001")</f>
        <v>3578141107010001</v>
      </c>
      <c r="J1321" s="7" t="str">
        <f>IFERROR(__xludf.DUMMYFUNCTION("""COMPUTED_VALUE"""),"LAKI-LAKI")</f>
        <v>LAKI-LAKI</v>
      </c>
      <c r="K1321" s="6" t="str">
        <f>IFERROR(__xludf.DUMMYFUNCTION("""COMPUTED_VALUE"""),"BTN MUTIARA GEMILANG BLOK H NO. 15")</f>
        <v>BTN MUTIARA GEMILANG BLOK H NO. 15</v>
      </c>
      <c r="R1321" s="7" t="str">
        <f>IFERROR(__xludf.DUMMYFUNCTION("""COMPUTED_VALUE"""),"K")</f>
        <v>K</v>
      </c>
    </row>
    <row r="1322" ht="22.5" customHeight="1">
      <c r="A1322" s="6">
        <v>1321.0</v>
      </c>
      <c r="B1322" s="6" t="str">
        <f>IFERROR(__xludf.DUMMYFUNCTION("""COMPUTED_VALUE"""),"Produktivitas Jenjang 5")</f>
        <v>Produktivitas Jenjang 5</v>
      </c>
      <c r="F1322" s="6" t="str">
        <f>IFERROR(__xludf.DUMMYFUNCTION("""COMPUTED_VALUE"""),"TERBIT NUR FATAHILLAH")</f>
        <v>TERBIT NUR FATAHILLAH</v>
      </c>
      <c r="G1322" s="6" t="str">
        <f>IFERROR(__xludf.DUMMYFUNCTION("""COMPUTED_VALUE"""),"3573010110930008")</f>
        <v>3573010110930008</v>
      </c>
      <c r="J1322" s="7" t="str">
        <f>IFERROR(__xludf.DUMMYFUNCTION("""COMPUTED_VALUE"""),"LAKI-LAKI")</f>
        <v>LAKI-LAKI</v>
      </c>
      <c r="K1322" s="6" t="str">
        <f>IFERROR(__xludf.DUMMYFUNCTION("""COMPUTED_VALUE"""),"JL TELUK MANDAR 55 KOTA MALANG")</f>
        <v>JL TELUK MANDAR 55 KOTA MALANG</v>
      </c>
      <c r="R1322" s="7" t="str">
        <f>IFERROR(__xludf.DUMMYFUNCTION("""COMPUTED_VALUE"""),"K")</f>
        <v>K</v>
      </c>
    </row>
    <row r="1323" ht="22.5" customHeight="1">
      <c r="A1323" s="6">
        <v>1322.0</v>
      </c>
      <c r="B1323" s="6" t="str">
        <f>IFERROR(__xludf.DUMMYFUNCTION("""COMPUTED_VALUE"""),"Produktivitas Jenjang 5")</f>
        <v>Produktivitas Jenjang 5</v>
      </c>
      <c r="F1323" s="6" t="str">
        <f>IFERROR(__xludf.DUMMYFUNCTION("""COMPUTED_VALUE"""),"ERIS ARIOS PRIADI")</f>
        <v>ERIS ARIOS PRIADI</v>
      </c>
      <c r="G1323" s="6" t="str">
        <f>IFERROR(__xludf.DUMMYFUNCTION("""COMPUTED_VALUE"""),"7471081103900004")</f>
        <v>7471081103900004</v>
      </c>
      <c r="J1323" s="7" t="str">
        <f>IFERROR(__xludf.DUMMYFUNCTION("""COMPUTED_VALUE"""),"LAKI-LAKI")</f>
        <v>LAKI-LAKI</v>
      </c>
      <c r="K1323" s="6" t="str">
        <f>IFERROR(__xludf.DUMMYFUNCTION("""COMPUTED_VALUE"""),"JL.PROF MUH YAMIN")</f>
        <v>JL.PROF MUH YAMIN</v>
      </c>
      <c r="R1323" s="7" t="str">
        <f>IFERROR(__xludf.DUMMYFUNCTION("""COMPUTED_VALUE"""),"K")</f>
        <v>K</v>
      </c>
    </row>
    <row r="1324" ht="22.5" customHeight="1">
      <c r="A1324" s="6">
        <v>1323.0</v>
      </c>
      <c r="B1324" s="6" t="str">
        <f>IFERROR(__xludf.DUMMYFUNCTION("""COMPUTED_VALUE"""),"Produktivitas Jenjang 5")</f>
        <v>Produktivitas Jenjang 5</v>
      </c>
      <c r="F1324" s="6" t="str">
        <f>IFERROR(__xludf.DUMMYFUNCTION("""COMPUTED_VALUE"""),"SRIATI")</f>
        <v>SRIATI</v>
      </c>
      <c r="G1324" s="6" t="str">
        <f>IFERROR(__xludf.DUMMYFUNCTION("""COMPUTED_VALUE"""),"3573015404750013")</f>
        <v>3573015404750013</v>
      </c>
      <c r="J1324" s="7" t="str">
        <f>IFERROR(__xludf.DUMMYFUNCTION("""COMPUTED_VALUE"""),"PEREMPUAN")</f>
        <v>PEREMPUAN</v>
      </c>
      <c r="K1324" s="6" t="str">
        <f>IFERROR(__xludf.DUMMYFUNCTION("""COMPUTED_VALUE"""),"JL.BANTENG PERUMAHAN BTN MUTIARA GEMILANG BLOK A15")</f>
        <v>JL.BANTENG PERUMAHAN BTN MUTIARA GEMILANG BLOK A15</v>
      </c>
      <c r="R1324" s="7" t="str">
        <f>IFERROR(__xludf.DUMMYFUNCTION("""COMPUTED_VALUE"""),"K")</f>
        <v>K</v>
      </c>
    </row>
    <row r="1325" ht="22.5" customHeight="1">
      <c r="A1325" s="6">
        <v>1324.0</v>
      </c>
      <c r="B1325" s="6" t="str">
        <f>IFERROR(__xludf.DUMMYFUNCTION("""COMPUTED_VALUE"""),"Produktivitas Jenjang 5")</f>
        <v>Produktivitas Jenjang 5</v>
      </c>
      <c r="F1325" s="6" t="str">
        <f>IFERROR(__xludf.DUMMYFUNCTION("""COMPUTED_VALUE"""),"WARIYO")</f>
        <v>WARIYO</v>
      </c>
      <c r="G1325" s="6" t="str">
        <f>IFERROR(__xludf.DUMMYFUNCTION("""COMPUTED_VALUE"""),"7207021107680001")</f>
        <v>7207021107680001</v>
      </c>
      <c r="J1325" s="7" t="str">
        <f>IFERROR(__xludf.DUMMYFUNCTION("""COMPUTED_VALUE"""),"LAKI-LAKI")</f>
        <v>LAKI-LAKI</v>
      </c>
      <c r="K1325" s="6" t="str">
        <f>IFERROR(__xludf.DUMMYFUNCTION("""COMPUTED_VALUE"""),"JL MARTANDU NO 99A, KAMBU, KENDARI")</f>
        <v>JL MARTANDU NO 99A, KAMBU, KENDARI</v>
      </c>
      <c r="R1325" s="7" t="str">
        <f>IFERROR(__xludf.DUMMYFUNCTION("""COMPUTED_VALUE"""),"K")</f>
        <v>K</v>
      </c>
    </row>
    <row r="1326" ht="22.5" customHeight="1">
      <c r="A1326" s="6">
        <v>1325.0</v>
      </c>
      <c r="B1326" s="6" t="str">
        <f>IFERROR(__xludf.DUMMYFUNCTION("""COMPUTED_VALUE"""),"Produktivitas Jenjang 5")</f>
        <v>Produktivitas Jenjang 5</v>
      </c>
      <c r="F1326" s="6" t="str">
        <f>IFERROR(__xludf.DUMMYFUNCTION("""COMPUTED_VALUE"""),"ROBERTUS BOTO")</f>
        <v>ROBERTUS BOTO</v>
      </c>
      <c r="G1326" s="6" t="str">
        <f>IFERROR(__xludf.DUMMYFUNCTION("""COMPUTED_VALUE"""),"7471013110800002")</f>
        <v>7471013110800002</v>
      </c>
      <c r="J1326" s="7" t="str">
        <f>IFERROR(__xludf.DUMMYFUNCTION("""COMPUTED_VALUE"""),"LAKI-LAKI")</f>
        <v>LAKI-LAKI</v>
      </c>
      <c r="K1326" s="6" t="str">
        <f>IFERROR(__xludf.DUMMYFUNCTION("""COMPUTED_VALUE"""),"BTN RESKY 3 ANGGOEYA BLOK B 25")</f>
        <v>BTN RESKY 3 ANGGOEYA BLOK B 25</v>
      </c>
      <c r="R1326" s="7" t="str">
        <f>IFERROR(__xludf.DUMMYFUNCTION("""COMPUTED_VALUE"""),"K")</f>
        <v>K</v>
      </c>
    </row>
    <row r="1327" ht="22.5" customHeight="1">
      <c r="A1327" s="6">
        <v>1326.0</v>
      </c>
      <c r="B1327" s="6" t="str">
        <f>IFERROR(__xludf.DUMMYFUNCTION("""COMPUTED_VALUE"""),"Produktivitas Jenjang 5")</f>
        <v>Produktivitas Jenjang 5</v>
      </c>
      <c r="F1327" s="6" t="str">
        <f>IFERROR(__xludf.DUMMYFUNCTION("""COMPUTED_VALUE"""),"MARTIANA")</f>
        <v>MARTIANA</v>
      </c>
      <c r="G1327" s="6" t="str">
        <f>IFERROR(__xludf.DUMMYFUNCTION("""COMPUTED_VALUE"""),"7402044303840001")</f>
        <v>7402044303840001</v>
      </c>
      <c r="J1327" s="7" t="str">
        <f>IFERROR(__xludf.DUMMYFUNCTION("""COMPUTED_VALUE"""),"PEREMPUAN")</f>
        <v>PEREMPUAN</v>
      </c>
      <c r="K1327" s="6" t="str">
        <f>IFERROR(__xludf.DUMMYFUNCTION("""COMPUTED_VALUE"""),"JL BANTENG , BTN DEWI BUNGA POASIA 2  BLOK E 16")</f>
        <v>JL BANTENG , BTN DEWI BUNGA POASIA 2  BLOK E 16</v>
      </c>
      <c r="R1327" s="7" t="str">
        <f>IFERROR(__xludf.DUMMYFUNCTION("""COMPUTED_VALUE"""),"K")</f>
        <v>K</v>
      </c>
    </row>
    <row r="1328" ht="22.5" customHeight="1">
      <c r="A1328" s="6">
        <v>1327.0</v>
      </c>
      <c r="B1328" s="6" t="str">
        <f>IFERROR(__xludf.DUMMYFUNCTION("""COMPUTED_VALUE"""),"Produktivitas Jenjang 5")</f>
        <v>Produktivitas Jenjang 5</v>
      </c>
      <c r="F1328" s="6" t="str">
        <f>IFERROR(__xludf.DUMMYFUNCTION("""COMPUTED_VALUE"""),"SURIYANA AMIR")</f>
        <v>SURIYANA AMIR</v>
      </c>
      <c r="G1328" s="6" t="str">
        <f>IFERROR(__xludf.DUMMYFUNCTION("""COMPUTED_VALUE"""),"7471054909920003")</f>
        <v>7471054909920003</v>
      </c>
      <c r="J1328" s="7" t="str">
        <f>IFERROR(__xludf.DUMMYFUNCTION("""COMPUTED_VALUE"""),"PEREMPUAN")</f>
        <v>PEREMPUAN</v>
      </c>
      <c r="K1328" s="6" t="str">
        <f>IFERROR(__xludf.DUMMYFUNCTION("""COMPUTED_VALUE"""),"JL.KIJANG ")</f>
        <v>JL.KIJANG </v>
      </c>
      <c r="R1328" s="7" t="str">
        <f>IFERROR(__xludf.DUMMYFUNCTION("""COMPUTED_VALUE"""),"K")</f>
        <v>K</v>
      </c>
    </row>
    <row r="1329" ht="22.5" customHeight="1">
      <c r="A1329" s="6">
        <v>1328.0</v>
      </c>
      <c r="B1329" s="6" t="str">
        <f>IFERROR(__xludf.DUMMYFUNCTION("""COMPUTED_VALUE"""),"Produktivitas Jenjang 5")</f>
        <v>Produktivitas Jenjang 5</v>
      </c>
      <c r="F1329" s="6" t="str">
        <f>IFERROR(__xludf.DUMMYFUNCTION("""COMPUTED_VALUE"""),"SUCI LARASATI AMD.KOM")</f>
        <v>SUCI LARASATI AMD.KOM</v>
      </c>
      <c r="G1329" s="6" t="str">
        <f>IFERROR(__xludf.DUMMYFUNCTION("""COMPUTED_VALUE"""),"7471076004900001")</f>
        <v>7471076004900001</v>
      </c>
      <c r="J1329" s="7" t="str">
        <f>IFERROR(__xludf.DUMMYFUNCTION("""COMPUTED_VALUE"""),"PEREMPUAN")</f>
        <v>PEREMPUAN</v>
      </c>
      <c r="K1329" s="6" t="str">
        <f>IFERROR(__xludf.DUMMYFUNCTION("""COMPUTED_VALUE"""),"JL.PROF.MUH.YAMIN")</f>
        <v>JL.PROF.MUH.YAMIN</v>
      </c>
      <c r="R1329" s="7" t="str">
        <f>IFERROR(__xludf.DUMMYFUNCTION("""COMPUTED_VALUE"""),"K")</f>
        <v>K</v>
      </c>
    </row>
    <row r="1330" ht="22.5" customHeight="1">
      <c r="A1330" s="6">
        <v>1329.0</v>
      </c>
      <c r="B1330" s="6" t="str">
        <f>IFERROR(__xludf.DUMMYFUNCTION("""COMPUTED_VALUE"""),"Produktivitas Jenjang 5")</f>
        <v>Produktivitas Jenjang 5</v>
      </c>
      <c r="F1330" s="6" t="str">
        <f>IFERROR(__xludf.DUMMYFUNCTION("""COMPUTED_VALUE"""),"AL FRIANSYAH AHMAD SIPA")</f>
        <v>AL FRIANSYAH AHMAD SIPA</v>
      </c>
      <c r="G1330" s="6" t="str">
        <f>IFERROR(__xludf.DUMMYFUNCTION("""COMPUTED_VALUE"""),"7471020206040001")</f>
        <v>7471020206040001</v>
      </c>
      <c r="J1330" s="7" t="str">
        <f>IFERROR(__xludf.DUMMYFUNCTION("""COMPUTED_VALUE"""),"LAKI-LAKI")</f>
        <v>LAKI-LAKI</v>
      </c>
      <c r="K1330" s="6" t="str">
        <f>IFERROR(__xludf.DUMMYFUNCTION("""COMPUTED_VALUE"""),"JI. MUTIARA")</f>
        <v>JI. MUTIARA</v>
      </c>
      <c r="R1330" s="7" t="str">
        <f>IFERROR(__xludf.DUMMYFUNCTION("""COMPUTED_VALUE"""),"K")</f>
        <v>K</v>
      </c>
    </row>
    <row r="1331" ht="22.5" customHeight="1">
      <c r="A1331" s="6">
        <v>1330.0</v>
      </c>
      <c r="B1331" s="6" t="str">
        <f>IFERROR(__xludf.DUMMYFUNCTION("""COMPUTED_VALUE"""),"Produktivitas Jenjang 5")</f>
        <v>Produktivitas Jenjang 5</v>
      </c>
      <c r="F1331" s="6" t="str">
        <f>IFERROR(__xludf.DUMMYFUNCTION("""COMPUTED_VALUE"""),"RISMAN")</f>
        <v>RISMAN</v>
      </c>
      <c r="G1331" s="6" t="str">
        <f>IFERROR(__xludf.DUMMYFUNCTION("""COMPUTED_VALUE"""),"7471010107820052")</f>
        <v>7471010107820052</v>
      </c>
      <c r="J1331" s="7" t="str">
        <f>IFERROR(__xludf.DUMMYFUNCTION("""COMPUTED_VALUE"""),"LAKI-LAKI")</f>
        <v>LAKI-LAKI</v>
      </c>
      <c r="K1331" s="6" t="str">
        <f>IFERROR(__xludf.DUMMYFUNCTION("""COMPUTED_VALUE"""),"JL. SAWERIGADING NO. 30")</f>
        <v>JL. SAWERIGADING NO. 30</v>
      </c>
      <c r="R1331" s="7" t="str">
        <f>IFERROR(__xludf.DUMMYFUNCTION("""COMPUTED_VALUE"""),"K")</f>
        <v>K</v>
      </c>
    </row>
    <row r="1332" ht="22.5" customHeight="1">
      <c r="A1332" s="6">
        <v>1331.0</v>
      </c>
      <c r="B1332" s="6" t="str">
        <f>IFERROR(__xludf.DUMMYFUNCTION("""COMPUTED_VALUE"""),"Produktivitas Jenjang 5")</f>
        <v>Produktivitas Jenjang 5</v>
      </c>
      <c r="F1332" s="6" t="str">
        <f>IFERROR(__xludf.DUMMYFUNCTION("""COMPUTED_VALUE"""),"DIRMAN")</f>
        <v>DIRMAN</v>
      </c>
      <c r="G1332" s="6" t="str">
        <f>IFERROR(__xludf.DUMMYFUNCTION("""COMPUTED_VALUE"""),"7471011409820003")</f>
        <v>7471011409820003</v>
      </c>
      <c r="J1332" s="7" t="str">
        <f>IFERROR(__xludf.DUMMYFUNCTION("""COMPUTED_VALUE"""),"LAKI-LAKI")</f>
        <v>LAKI-LAKI</v>
      </c>
      <c r="K1332" s="6" t="str">
        <f>IFERROR(__xludf.DUMMYFUNCTION("""COMPUTED_VALUE"""),"BTN GRIYA LALODATI PERMAI KEL.LALODATI")</f>
        <v>BTN GRIYA LALODATI PERMAI KEL.LALODATI</v>
      </c>
      <c r="R1332" s="7" t="str">
        <f>IFERROR(__xludf.DUMMYFUNCTION("""COMPUTED_VALUE"""),"K")</f>
        <v>K</v>
      </c>
    </row>
    <row r="1333" ht="22.5" customHeight="1">
      <c r="A1333" s="6">
        <v>1332.0</v>
      </c>
      <c r="B1333" s="6" t="str">
        <f>IFERROR(__xludf.DUMMYFUNCTION("""COMPUTED_VALUE"""),"Produktivitas Jenjang 5")</f>
        <v>Produktivitas Jenjang 5</v>
      </c>
      <c r="F1333" s="6" t="str">
        <f>IFERROR(__xludf.DUMMYFUNCTION("""COMPUTED_VALUE"""),"HIRO AKBAR CENDIKIAWAN")</f>
        <v>HIRO AKBAR CENDIKIAWAN</v>
      </c>
      <c r="G1333" s="6" t="str">
        <f>IFERROR(__xludf.DUMMYFUNCTION("""COMPUTED_VALUE"""),"3507242104040009")</f>
        <v>3507242104040009</v>
      </c>
      <c r="J1333" s="7" t="str">
        <f>IFERROR(__xludf.DUMMYFUNCTION("""COMPUTED_VALUE"""),"LAKI-LAKI")</f>
        <v>LAKI-LAKI</v>
      </c>
      <c r="K1333" s="6" t="str">
        <f>IFERROR(__xludf.DUMMYFUNCTION("""COMPUTED_VALUE"""),"JL. JEND. AH. NASUTION, KAMBU, KEC. KAMBU, KOTA KENDARI, SULAWESI TENGGARA")</f>
        <v>JL. JEND. AH. NASUTION, KAMBU, KEC. KAMBU, KOTA KENDARI, SULAWESI TENGGARA</v>
      </c>
      <c r="R1333" s="7" t="str">
        <f>IFERROR(__xludf.DUMMYFUNCTION("""COMPUTED_VALUE"""),"K")</f>
        <v>K</v>
      </c>
    </row>
    <row r="1334" ht="22.5" customHeight="1">
      <c r="A1334" s="6">
        <v>1333.0</v>
      </c>
      <c r="B1334" s="6" t="str">
        <f>IFERROR(__xludf.DUMMYFUNCTION("""COMPUTED_VALUE"""),"Produktivitas Jenjang 5")</f>
        <v>Produktivitas Jenjang 5</v>
      </c>
      <c r="F1334" s="6" t="str">
        <f>IFERROR(__xludf.DUMMYFUNCTION("""COMPUTED_VALUE"""),"ABANG")</f>
        <v>ABANG</v>
      </c>
      <c r="G1334" s="6" t="str">
        <f>IFERROR(__xludf.DUMMYFUNCTION("""COMPUTED_VALUE"""),"7471102706840001")</f>
        <v>7471102706840001</v>
      </c>
      <c r="J1334" s="7" t="str">
        <f>IFERROR(__xludf.DUMMYFUNCTION("""COMPUTED_VALUE"""),"LAKI-LAKI")</f>
        <v>LAKI-LAKI</v>
      </c>
      <c r="K1334" s="6" t="str">
        <f>IFERROR(__xludf.DUMMYFUNCTION("""COMPUTED_VALUE"""),"JALAN MAHKOTA")</f>
        <v>JALAN MAHKOTA</v>
      </c>
      <c r="R1334" s="7" t="str">
        <f>IFERROR(__xludf.DUMMYFUNCTION("""COMPUTED_VALUE"""),"K")</f>
        <v>K</v>
      </c>
    </row>
    <row r="1335" ht="22.5" customHeight="1">
      <c r="A1335" s="6">
        <v>1334.0</v>
      </c>
      <c r="B1335" s="6" t="str">
        <f>IFERROR(__xludf.DUMMYFUNCTION("""COMPUTED_VALUE"""),"Produktivitas Jenjang 5")</f>
        <v>Produktivitas Jenjang 5</v>
      </c>
      <c r="F1335" s="6" t="str">
        <f>IFERROR(__xludf.DUMMYFUNCTION("""COMPUTED_VALUE"""),"MURNI SURYANI")</f>
        <v>MURNI SURYANI</v>
      </c>
      <c r="G1335" s="6" t="str">
        <f>IFERROR(__xludf.DUMMYFUNCTION("""COMPUTED_VALUE"""),"7405085606850002")</f>
        <v>7405085606850002</v>
      </c>
      <c r="J1335" s="7" t="str">
        <f>IFERROR(__xludf.DUMMYFUNCTION("""COMPUTED_VALUE"""),"PEREMPUAN")</f>
        <v>PEREMPUAN</v>
      </c>
      <c r="K1335" s="6" t="str">
        <f>IFERROR(__xludf.DUMMYFUNCTION("""COMPUTED_VALUE"""),"JL. SIMBO BTN GRIYA SAFIKA BLOK G NO.3, BARUGA KOTA KENDARI")</f>
        <v>JL. SIMBO BTN GRIYA SAFIKA BLOK G NO.3, BARUGA KOTA KENDARI</v>
      </c>
      <c r="R1335" s="7" t="str">
        <f>IFERROR(__xludf.DUMMYFUNCTION("""COMPUTED_VALUE"""),"K")</f>
        <v>K</v>
      </c>
    </row>
    <row r="1336" ht="22.5" customHeight="1">
      <c r="A1336" s="6">
        <v>1335.0</v>
      </c>
      <c r="B1336" s="6" t="str">
        <f>IFERROR(__xludf.DUMMYFUNCTION("""COMPUTED_VALUE"""),"Produktivitas Jenjang 5")</f>
        <v>Produktivitas Jenjang 5</v>
      </c>
      <c r="F1336" s="6" t="str">
        <f>IFERROR(__xludf.DUMMYFUNCTION("""COMPUTED_VALUE"""),"ABANG")</f>
        <v>ABANG</v>
      </c>
      <c r="G1336" s="6" t="str">
        <f>IFERROR(__xludf.DUMMYFUNCTION("""COMPUTED_VALUE"""),"7471102706840001")</f>
        <v>7471102706840001</v>
      </c>
      <c r="J1336" s="7" t="str">
        <f>IFERROR(__xludf.DUMMYFUNCTION("""COMPUTED_VALUE"""),"LAKI-LAKI")</f>
        <v>LAKI-LAKI</v>
      </c>
      <c r="K1336" s="6" t="str">
        <f>IFERROR(__xludf.DUMMYFUNCTION("""COMPUTED_VALUE"""),"JALAN MAHKOTA")</f>
        <v>JALAN MAHKOTA</v>
      </c>
      <c r="R1336" s="7" t="str">
        <f>IFERROR(__xludf.DUMMYFUNCTION("""COMPUTED_VALUE"""),"K")</f>
        <v>K</v>
      </c>
    </row>
    <row r="1337" ht="22.5" customHeight="1">
      <c r="A1337" s="6">
        <v>1336.0</v>
      </c>
      <c r="B1337" s="6" t="str">
        <f>IFERROR(__xludf.DUMMYFUNCTION("""COMPUTED_VALUE"""),"Produktivitas Jenjang 5")</f>
        <v>Produktivitas Jenjang 5</v>
      </c>
      <c r="F1337" s="6" t="str">
        <f>IFERROR(__xludf.DUMMYFUNCTION("""COMPUTED_VALUE"""),"TAHTA GUBTA SAHAKA")</f>
        <v>TAHTA GUBTA SAHAKA</v>
      </c>
      <c r="G1337" s="6" t="str">
        <f>IFERROR(__xludf.DUMMYFUNCTION("""COMPUTED_VALUE"""),"7471053011940002")</f>
        <v>7471053011940002</v>
      </c>
      <c r="J1337" s="7" t="str">
        <f>IFERROR(__xludf.DUMMYFUNCTION("""COMPUTED_VALUE"""),"LAKI-LAKI")</f>
        <v>LAKI-LAKI</v>
      </c>
      <c r="K1337" s="6" t="str">
        <f>IFERROR(__xludf.DUMMYFUNCTION("""COMPUTED_VALUE"""),"JL. CHAIRIL ANWAR")</f>
        <v>JL. CHAIRIL ANWAR</v>
      </c>
      <c r="R1337" s="7" t="str">
        <f>IFERROR(__xludf.DUMMYFUNCTION("""COMPUTED_VALUE"""),"K")</f>
        <v>K</v>
      </c>
    </row>
    <row r="1338" ht="22.5" customHeight="1">
      <c r="A1338" s="6">
        <v>1337.0</v>
      </c>
      <c r="B1338" s="6" t="str">
        <f>IFERROR(__xludf.DUMMYFUNCTION("""COMPUTED_VALUE"""),"Produktivitas Jenjang 5")</f>
        <v>Produktivitas Jenjang 5</v>
      </c>
      <c r="F1338" s="6" t="str">
        <f>IFERROR(__xludf.DUMMYFUNCTION("""COMPUTED_VALUE"""),"FIGIT FERIAN PARMAN SAPUTRA")</f>
        <v>FIGIT FERIAN PARMAN SAPUTRA</v>
      </c>
      <c r="G1338" s="6" t="str">
        <f>IFERROR(__xludf.DUMMYFUNCTION("""COMPUTED_VALUE"""),"7471051604900002")</f>
        <v>7471051604900002</v>
      </c>
      <c r="J1338" s="7" t="str">
        <f>IFERROR(__xludf.DUMMYFUNCTION("""COMPUTED_VALUE"""),"LAKI-LAKI")</f>
        <v>LAKI-LAKI</v>
      </c>
      <c r="K1338" s="6" t="str">
        <f>IFERROR(__xludf.DUMMYFUNCTION("""COMPUTED_VALUE"""),"JL. KELAPA TIGA, RT.005/RW.002, KEL.LAHUNDAPE, KEC. KENDARI BARAT, KOTA KENDARI, 93127")</f>
        <v>JL. KELAPA TIGA, RT.005/RW.002, KEL.LAHUNDAPE, KEC. KENDARI BARAT, KOTA KENDARI, 93127</v>
      </c>
      <c r="R1338" s="7" t="str">
        <f>IFERROR(__xludf.DUMMYFUNCTION("""COMPUTED_VALUE"""),"K")</f>
        <v>K</v>
      </c>
    </row>
    <row r="1339" ht="22.5" customHeight="1">
      <c r="A1339" s="6">
        <v>1338.0</v>
      </c>
      <c r="B1339" s="6" t="str">
        <f>IFERROR(__xludf.DUMMYFUNCTION("""COMPUTED_VALUE"""),"Produktivitas Jenjang 5")</f>
        <v>Produktivitas Jenjang 5</v>
      </c>
      <c r="F1339" s="6" t="str">
        <f>IFERROR(__xludf.DUMMYFUNCTION("""COMPUTED_VALUE"""),"ALUNG RAMADAN ")</f>
        <v>ALUNG RAMADAN </v>
      </c>
      <c r="G1339" s="6">
        <f>IFERROR(__xludf.DUMMYFUNCTION("""COMPUTED_VALUE"""),7.4710528020002E13)</f>
        <v>74710528020002</v>
      </c>
      <c r="J1339" s="7" t="str">
        <f>IFERROR(__xludf.DUMMYFUNCTION("""COMPUTED_VALUE"""),"LAKI-LAKI")</f>
        <v>LAKI-LAKI</v>
      </c>
      <c r="K1339" s="6" t="str">
        <f>IFERROR(__xludf.DUMMYFUNCTION("""COMPUTED_VALUE"""),"JL DR MOHON HATTA")</f>
        <v>JL DR MOHON HATTA</v>
      </c>
      <c r="R1339" s="7" t="str">
        <f>IFERROR(__xludf.DUMMYFUNCTION("""COMPUTED_VALUE"""),"K")</f>
        <v>K</v>
      </c>
    </row>
    <row r="1340" ht="22.5" customHeight="1">
      <c r="A1340" s="6">
        <v>1339.0</v>
      </c>
      <c r="B1340" s="6" t="str">
        <f>IFERROR(__xludf.DUMMYFUNCTION("""COMPUTED_VALUE"""),"Produktivitas Jenjang 5")</f>
        <v>Produktivitas Jenjang 5</v>
      </c>
      <c r="F1340" s="6" t="str">
        <f>IFERROR(__xludf.DUMMYFUNCTION("""COMPUTED_VALUE"""),"SYAHRIN")</f>
        <v>SYAHRIN</v>
      </c>
      <c r="G1340" s="6" t="str">
        <f>IFERROR(__xludf.DUMMYFUNCTION("""COMPUTED_VALUE"""),"7471022607020001")</f>
        <v>7471022607020001</v>
      </c>
      <c r="J1340" s="7" t="str">
        <f>IFERROR(__xludf.DUMMYFUNCTION("""COMPUTED_VALUE"""),"LAKI-LAKI")</f>
        <v>LAKI-LAKI</v>
      </c>
      <c r="K1340" s="6" t="str">
        <f>IFERROR(__xludf.DUMMYFUNCTION("""COMPUTED_VALUE"""),"KEL. MANGGA DUA")</f>
        <v>KEL. MANGGA DUA</v>
      </c>
      <c r="R1340" s="7" t="str">
        <f>IFERROR(__xludf.DUMMYFUNCTION("""COMPUTED_VALUE"""),"BK")</f>
        <v>BK</v>
      </c>
    </row>
    <row r="1341" ht="22.5" customHeight="1">
      <c r="A1341" s="6">
        <v>1340.0</v>
      </c>
      <c r="B1341" s="6" t="str">
        <f>IFERROR(__xludf.DUMMYFUNCTION("""COMPUTED_VALUE"""),"Pengelolaan Administrasi Kantor Digital Berbasis Google Workspace")</f>
        <v>Pengelolaan Administrasi Kantor Digital Berbasis Google Workspace</v>
      </c>
      <c r="F1341" s="6" t="str">
        <f>IFERROR(__xludf.DUMMYFUNCTION("""COMPUTED_VALUE"""),"NURKHOTIMAH ADWIYANI")</f>
        <v>NURKHOTIMAH ADWIYANI</v>
      </c>
      <c r="G1341" s="6" t="str">
        <f>IFERROR(__xludf.DUMMYFUNCTION("""COMPUTED_VALUE"""),"")</f>
        <v/>
      </c>
      <c r="J1341" s="7" t="str">
        <f>IFERROR(__xludf.DUMMYFUNCTION("""COMPUTED_VALUE"""),"PEREMPUAN")</f>
        <v>PEREMPUAN</v>
      </c>
      <c r="K1341" s="6" t="str">
        <f>IFERROR(__xludf.DUMMYFUNCTION("""COMPUTED_VALUE"""),"")</f>
        <v/>
      </c>
      <c r="R1341" s="7" t="str">
        <f>IFERROR(__xludf.DUMMYFUNCTION("""COMPUTED_VALUE"""),"K")</f>
        <v>K</v>
      </c>
    </row>
    <row r="1342" ht="22.5" customHeight="1">
      <c r="A1342" s="6">
        <v>1341.0</v>
      </c>
      <c r="B1342" s="6" t="str">
        <f>IFERROR(__xludf.DUMMYFUNCTION("""COMPUTED_VALUE"""),"Pengelolaan Administrasi Kantor Digital Berbasis Google Workspace")</f>
        <v>Pengelolaan Administrasi Kantor Digital Berbasis Google Workspace</v>
      </c>
      <c r="F1342" s="6" t="str">
        <f>IFERROR(__xludf.DUMMYFUNCTION("""COMPUTED_VALUE"""),"RAHMAWATI HASAN")</f>
        <v>RAHMAWATI HASAN</v>
      </c>
      <c r="G1342" s="6" t="str">
        <f>IFERROR(__xludf.DUMMYFUNCTION("""COMPUTED_VALUE"""),"7402055212940001")</f>
        <v>7402055212940001</v>
      </c>
      <c r="J1342" s="7" t="str">
        <f>IFERROR(__xludf.DUMMYFUNCTION("""COMPUTED_VALUE"""),"PEREMPUAN")</f>
        <v>PEREMPUAN</v>
      </c>
      <c r="K1342" s="6" t="str">
        <f>IFERROR(__xludf.DUMMYFUNCTION("""COMPUTED_VALUE"""),"DESA PUSAWAH JAYA,KEC.ANGGALOMOARE, KAB. KONAWE")</f>
        <v>DESA PUSAWAH JAYA,KEC.ANGGALOMOARE, KAB. KONAWE</v>
      </c>
      <c r="R1342" s="7" t="str">
        <f>IFERROR(__xludf.DUMMYFUNCTION("""COMPUTED_VALUE"""),"K")</f>
        <v>K</v>
      </c>
    </row>
    <row r="1343" ht="22.5" customHeight="1">
      <c r="A1343" s="6">
        <v>1342.0</v>
      </c>
      <c r="B1343" s="6" t="str">
        <f>IFERROR(__xludf.DUMMYFUNCTION("""COMPUTED_VALUE"""),"Pengelolaan Administrasi Kantor Digital Berbasis Google Workspace")</f>
        <v>Pengelolaan Administrasi Kantor Digital Berbasis Google Workspace</v>
      </c>
      <c r="F1343" s="6" t="str">
        <f>IFERROR(__xludf.DUMMYFUNCTION("""COMPUTED_VALUE"""),"LISNAWATI")</f>
        <v>LISNAWATI</v>
      </c>
      <c r="G1343" s="6" t="str">
        <f>IFERROR(__xludf.DUMMYFUNCTION("""COMPUTED_VALUE"""),"740109450130002")</f>
        <v>740109450130002</v>
      </c>
      <c r="J1343" s="7" t="str">
        <f>IFERROR(__xludf.DUMMYFUNCTION("""COMPUTED_VALUE"""),"PEREMPUAN")</f>
        <v>PEREMPUAN</v>
      </c>
      <c r="K1343" s="6" t="str">
        <f>IFERROR(__xludf.DUMMYFUNCTION("""COMPUTED_VALUE"""),"DUSUN IV, KEL. HORODOPI, KEC. BENUA, KAB. KONSEL")</f>
        <v>DUSUN IV, KEL. HORODOPI, KEC. BENUA, KAB. KONSEL</v>
      </c>
      <c r="R1343" s="7" t="str">
        <f>IFERROR(__xludf.DUMMYFUNCTION("""COMPUTED_VALUE"""),"K")</f>
        <v>K</v>
      </c>
    </row>
    <row r="1344" ht="22.5" customHeight="1">
      <c r="A1344" s="6">
        <v>1343.0</v>
      </c>
      <c r="B1344" s="6" t="str">
        <f>IFERROR(__xludf.DUMMYFUNCTION("""COMPUTED_VALUE"""),"Pengelolaan Administrasi Kantor Digital Berbasis Google Workspace")</f>
        <v>Pengelolaan Administrasi Kantor Digital Berbasis Google Workspace</v>
      </c>
      <c r="F1344" s="6" t="str">
        <f>IFERROR(__xludf.DUMMYFUNCTION("""COMPUTED_VALUE"""),"ALISYAH PUTRI UTAMI ")</f>
        <v>ALISYAH PUTRI UTAMI </v>
      </c>
      <c r="G1344" s="6" t="str">
        <f>IFERROR(__xludf.DUMMYFUNCTION("""COMPUTED_VALUE"""),"7403125801050001")</f>
        <v>7403125801050001</v>
      </c>
      <c r="J1344" s="7" t="str">
        <f>IFERROR(__xludf.DUMMYFUNCTION("""COMPUTED_VALUE"""),"PEREMPUAN")</f>
        <v>PEREMPUAN</v>
      </c>
      <c r="K1344" s="6" t="str">
        <f>IFERROR(__xludf.DUMMYFUNCTION("""COMPUTED_VALUE"""),"JL.SUTAN SYAHRIR KELURAHAN PALANGGA KECAMATAN DURUKA KABUPATEN MUNA SULAWESI TENGGARA ")</f>
        <v>JL.SUTAN SYAHRIR KELURAHAN PALANGGA KECAMATAN DURUKA KABUPATEN MUNA SULAWESI TENGGARA </v>
      </c>
      <c r="R1344" s="7" t="str">
        <f>IFERROR(__xludf.DUMMYFUNCTION("""COMPUTED_VALUE"""),"K")</f>
        <v>K</v>
      </c>
    </row>
    <row r="1345" ht="22.5" customHeight="1">
      <c r="A1345" s="6">
        <v>1344.0</v>
      </c>
      <c r="B1345" s="6" t="str">
        <f>IFERROR(__xludf.DUMMYFUNCTION("""COMPUTED_VALUE"""),"Pengelolaan Administrasi Kantor Digital Berbasis Google Workspace")</f>
        <v>Pengelolaan Administrasi Kantor Digital Berbasis Google Workspace</v>
      </c>
      <c r="F1345" s="6" t="str">
        <f>IFERROR(__xludf.DUMMYFUNCTION("""COMPUTED_VALUE"""),"VIRA ZALIANTI")</f>
        <v>VIRA ZALIANTI</v>
      </c>
      <c r="G1345" s="6" t="str">
        <f>IFERROR(__xludf.DUMMYFUNCTION("""COMPUTED_VALUE"""),"7471055302080002")</f>
        <v>7471055302080002</v>
      </c>
      <c r="J1345" s="7" t="str">
        <f>IFERROR(__xludf.DUMMYFUNCTION("""COMPUTED_VALUE"""),"PEREMPUAN")</f>
        <v>PEREMPUAN</v>
      </c>
      <c r="K1345" s="6" t="str">
        <f>IFERROR(__xludf.DUMMYFUNCTION("""COMPUTED_VALUE"""),"JL. S KONAWEHA")</f>
        <v>JL. S KONAWEHA</v>
      </c>
      <c r="R1345" s="7" t="str">
        <f>IFERROR(__xludf.DUMMYFUNCTION("""COMPUTED_VALUE"""),"K")</f>
        <v>K</v>
      </c>
    </row>
    <row r="1346" ht="22.5" customHeight="1">
      <c r="A1346" s="6">
        <v>1345.0</v>
      </c>
      <c r="B1346" s="6" t="str">
        <f>IFERROR(__xludf.DUMMYFUNCTION("""COMPUTED_VALUE"""),"Pengelolaan Administrasi Kantor Digital Berbasis Google Workspace")</f>
        <v>Pengelolaan Administrasi Kantor Digital Berbasis Google Workspace</v>
      </c>
      <c r="F1346" s="6" t="str">
        <f>IFERROR(__xludf.DUMMYFUNCTION("""COMPUTED_VALUE"""),"RARA FEBRIAINI ")</f>
        <v>RARA FEBRIAINI </v>
      </c>
      <c r="G1346" s="6" t="str">
        <f>IFERROR(__xludf.DUMMYFUNCTION("""COMPUTED_VALUE"""),"7471014102060001")</f>
        <v>7471014102060001</v>
      </c>
      <c r="J1346" s="7" t="str">
        <f>IFERROR(__xludf.DUMMYFUNCTION("""COMPUTED_VALUE"""),"PEREMPUAN")</f>
        <v>PEREMPUAN</v>
      </c>
      <c r="K1346" s="6" t="str">
        <f>IFERROR(__xludf.DUMMYFUNCTION("""COMPUTED_VALUE"""),"JL. MEKAR BARU LR. BATU MERAH ")</f>
        <v>JL. MEKAR BARU LR. BATU MERAH </v>
      </c>
      <c r="R1346" s="7" t="str">
        <f>IFERROR(__xludf.DUMMYFUNCTION("""COMPUTED_VALUE"""),"K")</f>
        <v>K</v>
      </c>
    </row>
    <row r="1347" ht="22.5" customHeight="1">
      <c r="A1347" s="6">
        <v>1346.0</v>
      </c>
      <c r="B1347" s="6" t="str">
        <f>IFERROR(__xludf.DUMMYFUNCTION("""COMPUTED_VALUE"""),"Pengelolaan Administrasi Kantor Digital Berbasis Google Workspace")</f>
        <v>Pengelolaan Administrasi Kantor Digital Berbasis Google Workspace</v>
      </c>
      <c r="F1347" s="6" t="str">
        <f>IFERROR(__xludf.DUMMYFUNCTION("""COMPUTED_VALUE"""),"I GEDE PUTRA WARDANA ")</f>
        <v>I GEDE PUTRA WARDANA </v>
      </c>
      <c r="G1347" s="6" t="str">
        <f>IFERROR(__xludf.DUMMYFUNCTION("""COMPUTED_VALUE"""),"7472040406070001")</f>
        <v>7472040406070001</v>
      </c>
      <c r="J1347" s="7" t="str">
        <f>IFERROR(__xludf.DUMMYFUNCTION("""COMPUTED_VALUE"""),"LAKI-LAKI")</f>
        <v>LAKI-LAKI</v>
      </c>
      <c r="K1347" s="6" t="str">
        <f>IFERROR(__xludf.DUMMYFUNCTION("""COMPUTED_VALUE"""),"LINGKUNGAN BALI DWIPA")</f>
        <v>LINGKUNGAN BALI DWIPA</v>
      </c>
      <c r="R1347" s="7" t="str">
        <f>IFERROR(__xludf.DUMMYFUNCTION("""COMPUTED_VALUE"""),"K")</f>
        <v>K</v>
      </c>
    </row>
    <row r="1348" ht="22.5" customHeight="1">
      <c r="A1348" s="6">
        <v>1347.0</v>
      </c>
      <c r="B1348" s="6" t="str">
        <f>IFERROR(__xludf.DUMMYFUNCTION("""COMPUTED_VALUE"""),"Pengelolaan Administrasi Kantor Digital Berbasis Google Workspace")</f>
        <v>Pengelolaan Administrasi Kantor Digital Berbasis Google Workspace</v>
      </c>
      <c r="F1348" s="6" t="str">
        <f>IFERROR(__xludf.DUMMYFUNCTION("""COMPUTED_VALUE"""),"NURFADILLAH ")</f>
        <v>NURFADILLAH </v>
      </c>
      <c r="G1348" s="6" t="str">
        <f>IFERROR(__xludf.DUMMYFUNCTION("""COMPUTED_VALUE"""),"7405015005060003")</f>
        <v>7405015005060003</v>
      </c>
      <c r="J1348" s="7" t="str">
        <f>IFERROR(__xludf.DUMMYFUNCTION("""COMPUTED_VALUE"""),"PEREMPUAN")</f>
        <v>PEREMPUAN</v>
      </c>
      <c r="K1348" s="6" t="str">
        <f>IFERROR(__xludf.DUMMYFUNCTION("""COMPUTED_VALUE"""),"DESA AKUNI RT 000/RW 000 KEL/DESA. AKUNI KEC. TINANGGEA ")</f>
        <v>DESA AKUNI RT 000/RW 000 KEL/DESA. AKUNI KEC. TINANGGEA </v>
      </c>
      <c r="R1348" s="7" t="str">
        <f>IFERROR(__xludf.DUMMYFUNCTION("""COMPUTED_VALUE"""),"BK")</f>
        <v>BK</v>
      </c>
    </row>
    <row r="1349" ht="22.5" customHeight="1">
      <c r="A1349" s="6">
        <v>1348.0</v>
      </c>
      <c r="B1349" s="6" t="str">
        <f>IFERROR(__xludf.DUMMYFUNCTION("""COMPUTED_VALUE"""),"Pengelolaan Administrasi Kantor Digital Berbasis Google Workspace")</f>
        <v>Pengelolaan Administrasi Kantor Digital Berbasis Google Workspace</v>
      </c>
      <c r="F1349" s="6" t="str">
        <f>IFERROR(__xludf.DUMMYFUNCTION("""COMPUTED_VALUE"""),"RAGITA")</f>
        <v>RAGITA</v>
      </c>
      <c r="G1349" s="6" t="str">
        <f>IFERROR(__xludf.DUMMYFUNCTION("""COMPUTED_VALUE"""),"7471076812070001")</f>
        <v>7471076812070001</v>
      </c>
      <c r="J1349" s="7" t="str">
        <f>IFERROR(__xludf.DUMMYFUNCTION("""COMPUTED_VALUE"""),"PEREMPUAN")</f>
        <v>PEREMPUAN</v>
      </c>
      <c r="K1349" s="6" t="str">
        <f>IFERROR(__xludf.DUMMYFUNCTION("""COMPUTED_VALUE"""),"JL. PATIMURA LR. SUZUKI II")</f>
        <v>JL. PATIMURA LR. SUZUKI II</v>
      </c>
      <c r="R1349" s="7" t="str">
        <f>IFERROR(__xludf.DUMMYFUNCTION("""COMPUTED_VALUE"""),"K")</f>
        <v>K</v>
      </c>
    </row>
    <row r="1350" ht="22.5" customHeight="1">
      <c r="A1350" s="6">
        <v>1349.0</v>
      </c>
      <c r="B1350" s="6" t="str">
        <f>IFERROR(__xludf.DUMMYFUNCTION("""COMPUTED_VALUE"""),"Pengelolaan Administrasi Kantor Digital Berbasis Google Workspace")</f>
        <v>Pengelolaan Administrasi Kantor Digital Berbasis Google Workspace</v>
      </c>
      <c r="F1350" s="6" t="str">
        <f>IFERROR(__xludf.DUMMYFUNCTION("""COMPUTED_VALUE"""),"NUR LUTFIA AULIA")</f>
        <v>NUR LUTFIA AULIA</v>
      </c>
      <c r="G1350" s="6" t="str">
        <f>IFERROR(__xludf.DUMMYFUNCTION("""COMPUTED_VALUE"""),"7404316804080002")</f>
        <v>7404316804080002</v>
      </c>
      <c r="J1350" s="7" t="str">
        <f>IFERROR(__xludf.DUMMYFUNCTION("""COMPUTED_VALUE"""),"PEREMPUAN")</f>
        <v>PEREMPUAN</v>
      </c>
      <c r="K1350" s="6" t="str">
        <f>IFERROR(__xludf.DUMMYFUNCTION("""COMPUTED_VALUE"""),"JL. POROS PASARWAJO - LASALIMU")</f>
        <v>JL. POROS PASARWAJO - LASALIMU</v>
      </c>
      <c r="R1350" s="7" t="str">
        <f>IFERROR(__xludf.DUMMYFUNCTION("""COMPUTED_VALUE"""),"K")</f>
        <v>K</v>
      </c>
    </row>
    <row r="1351" ht="22.5" customHeight="1">
      <c r="A1351" s="6">
        <v>1350.0</v>
      </c>
      <c r="B1351" s="6" t="str">
        <f>IFERROR(__xludf.DUMMYFUNCTION("""COMPUTED_VALUE"""),"Pengelolaan Administrasi Kantor Digital Berbasis Google Workspace")</f>
        <v>Pengelolaan Administrasi Kantor Digital Berbasis Google Workspace</v>
      </c>
      <c r="F1351" s="6" t="str">
        <f>IFERROR(__xludf.DUMMYFUNCTION("""COMPUTED_VALUE"""),"MUARFAN SHIDICK")</f>
        <v>MUARFAN SHIDICK</v>
      </c>
      <c r="G1351" s="6" t="str">
        <f>IFERROR(__xludf.DUMMYFUNCTION("""COMPUTED_VALUE"""),"7403091103080001")</f>
        <v>7403091103080001</v>
      </c>
      <c r="J1351" s="7" t="str">
        <f>IFERROR(__xludf.DUMMYFUNCTION("""COMPUTED_VALUE"""),"LAKI-LAKI")</f>
        <v>LAKI-LAKI</v>
      </c>
      <c r="K1351" s="6" t="str">
        <f>IFERROR(__xludf.DUMMYFUNCTION("""COMPUTED_VALUE"""),"KEL.MANGGA DUA")</f>
        <v>KEL.MANGGA DUA</v>
      </c>
      <c r="R1351" s="7" t="str">
        <f>IFERROR(__xludf.DUMMYFUNCTION("""COMPUTED_VALUE"""),"K")</f>
        <v>K</v>
      </c>
    </row>
    <row r="1352" ht="22.5" customHeight="1">
      <c r="A1352" s="6">
        <v>1351.0</v>
      </c>
      <c r="B1352" s="6" t="str">
        <f>IFERROR(__xludf.DUMMYFUNCTION("""COMPUTED_VALUE"""),"Pengelolaan Administrasi Kantor Digital Berbasis Google Workspace")</f>
        <v>Pengelolaan Administrasi Kantor Digital Berbasis Google Workspace</v>
      </c>
      <c r="F1352" s="6" t="str">
        <f>IFERROR(__xludf.DUMMYFUNCTION("""COMPUTED_VALUE"""),"MUTHIARA SHALMA")</f>
        <v>MUTHIARA SHALMA</v>
      </c>
      <c r="G1352" s="6" t="str">
        <f>IFERROR(__xludf.DUMMYFUNCTION("""COMPUTED_VALUE"""),"6471045406080003")</f>
        <v>6471045406080003</v>
      </c>
      <c r="J1352" s="7" t="str">
        <f>IFERROR(__xludf.DUMMYFUNCTION("""COMPUTED_VALUE"""),"PEREMPUAN")</f>
        <v>PEREMPUAN</v>
      </c>
      <c r="K1352" s="6" t="str">
        <f>IFERROR(__xludf.DUMMYFUNCTION("""COMPUTED_VALUE"""),"JL.SWADAYA NO.09,KELURAHAN KARANG REJO,BALIKPAPAN TENGAH")</f>
        <v>JL.SWADAYA NO.09,KELURAHAN KARANG REJO,BALIKPAPAN TENGAH</v>
      </c>
      <c r="R1352" s="7" t="str">
        <f>IFERROR(__xludf.DUMMYFUNCTION("""COMPUTED_VALUE"""),"K")</f>
        <v>K</v>
      </c>
    </row>
    <row r="1353" ht="22.5" customHeight="1">
      <c r="A1353" s="6">
        <v>1352.0</v>
      </c>
      <c r="B1353" s="6" t="str">
        <f>IFERROR(__xludf.DUMMYFUNCTION("""COMPUTED_VALUE"""),"Pengelolaan Administrasi Kantor Digital Berbasis Google Workspace")</f>
        <v>Pengelolaan Administrasi Kantor Digital Berbasis Google Workspace</v>
      </c>
      <c r="F1353" s="6" t="str">
        <f>IFERROR(__xludf.DUMMYFUNCTION("""COMPUTED_VALUE"""),"HASNADA")</f>
        <v>HASNADA</v>
      </c>
      <c r="G1353" s="6" t="str">
        <f>IFERROR(__xludf.DUMMYFUNCTION("""COMPUTED_VALUE"""),"7403385802010001")</f>
        <v>7403385802010001</v>
      </c>
      <c r="J1353" s="7" t="str">
        <f>IFERROR(__xludf.DUMMYFUNCTION("""COMPUTED_VALUE"""),"PEREMPUAN")</f>
        <v>PEREMPUAN</v>
      </c>
      <c r="K1353" s="6" t="str">
        <f>IFERROR(__xludf.DUMMYFUNCTION("""COMPUTED_VALUE"""),"JLN. POROS, RT 001 / RW 001, DESA SANGIA TIWORO, KEC. TIWORO SELARAN, KAB. MUNA BARAT")</f>
        <v>JLN. POROS, RT 001 / RW 001, DESA SANGIA TIWORO, KEC. TIWORO SELARAN, KAB. MUNA BARAT</v>
      </c>
      <c r="R1353" s="7" t="str">
        <f>IFERROR(__xludf.DUMMYFUNCTION("""COMPUTED_VALUE"""),"K")</f>
        <v>K</v>
      </c>
    </row>
    <row r="1354" ht="22.5" customHeight="1">
      <c r="A1354" s="6">
        <v>1353.0</v>
      </c>
      <c r="B1354" s="6" t="str">
        <f>IFERROR(__xludf.DUMMYFUNCTION("""COMPUTED_VALUE"""),"Pengelolaan Administrasi Kantor Digital Berbasis Google Workspace")</f>
        <v>Pengelolaan Administrasi Kantor Digital Berbasis Google Workspace</v>
      </c>
      <c r="F1354" s="6" t="str">
        <f>IFERROR(__xludf.DUMMYFUNCTION("""COMPUTED_VALUE"""),"SHANIQUA PUTRI ANGGRAENI")</f>
        <v>SHANIQUA PUTRI ANGGRAENI</v>
      </c>
      <c r="G1354" s="6" t="str">
        <f>IFERROR(__xludf.DUMMYFUNCTION("""COMPUTED_VALUE"""),"")</f>
        <v/>
      </c>
      <c r="J1354" s="7" t="str">
        <f>IFERROR(__xludf.DUMMYFUNCTION("""COMPUTED_VALUE"""),"PEREMPUAN")</f>
        <v>PEREMPUAN</v>
      </c>
      <c r="K1354" s="6" t="str">
        <f>IFERROR(__xludf.DUMMYFUNCTION("""COMPUTED_VALUE"""),"")</f>
        <v/>
      </c>
      <c r="R1354" s="7" t="str">
        <f>IFERROR(__xludf.DUMMYFUNCTION("""COMPUTED_VALUE"""),"K")</f>
        <v>K</v>
      </c>
    </row>
    <row r="1355" ht="22.5" customHeight="1">
      <c r="A1355" s="6">
        <v>1354.0</v>
      </c>
      <c r="B1355" s="6" t="str">
        <f>IFERROR(__xludf.DUMMYFUNCTION("""COMPUTED_VALUE"""),"Pengelolaan Administrasi Kantor Digital Berbasis Google Workspace")</f>
        <v>Pengelolaan Administrasi Kantor Digital Berbasis Google Workspace</v>
      </c>
      <c r="F1355" s="6" t="str">
        <f>IFERROR(__xludf.DUMMYFUNCTION("""COMPUTED_VALUE"""),"SYAFITRI")</f>
        <v>SYAFITRI</v>
      </c>
      <c r="G1355" s="6" t="str">
        <f>IFERROR(__xludf.DUMMYFUNCTION("""COMPUTED_VALUE"""),"7471024110080002")</f>
        <v>7471024110080002</v>
      </c>
      <c r="J1355" s="7" t="str">
        <f>IFERROR(__xludf.DUMMYFUNCTION("""COMPUTED_VALUE"""),"PEREMPUAN")</f>
        <v>PEREMPUAN</v>
      </c>
      <c r="K1355" s="6" t="str">
        <f>IFERROR(__xludf.DUMMYFUNCTION("""COMPUTED_VALUE"""),"JL AKASIA LANGI BAJO")</f>
        <v>JL AKASIA LANGI BAJO</v>
      </c>
      <c r="R1355" s="7" t="str">
        <f>IFERROR(__xludf.DUMMYFUNCTION("""COMPUTED_VALUE"""),"K")</f>
        <v>K</v>
      </c>
    </row>
    <row r="1356" ht="22.5" customHeight="1">
      <c r="A1356" s="6">
        <v>1355.0</v>
      </c>
      <c r="B1356" s="6" t="str">
        <f>IFERROR(__xludf.DUMMYFUNCTION("""COMPUTED_VALUE"""),"Pengelolaan Administrasi Kantor Digital Berbasis Google Workspace")</f>
        <v>Pengelolaan Administrasi Kantor Digital Berbasis Google Workspace</v>
      </c>
      <c r="F1356" s="6" t="str">
        <f>IFERROR(__xludf.DUMMYFUNCTION("""COMPUTED_VALUE"""),"VALEN NURUL FEBRIANTI")</f>
        <v>VALEN NURUL FEBRIANTI</v>
      </c>
      <c r="G1356" s="6" t="str">
        <f>IFERROR(__xludf.DUMMYFUNCTION("""COMPUTED_VALUE"""),"7405225402090001")</f>
        <v>7405225402090001</v>
      </c>
      <c r="J1356" s="7" t="str">
        <f>IFERROR(__xludf.DUMMYFUNCTION("""COMPUTED_VALUE"""),"PEREMPUAN")</f>
        <v>PEREMPUAN</v>
      </c>
      <c r="K1356" s="6" t="str">
        <f>IFERROR(__xludf.DUMMYFUNCTION("""COMPUTED_VALUE"""),"JL.POROS ANDOOLO-BARUGA")</f>
        <v>JL.POROS ANDOOLO-BARUGA</v>
      </c>
      <c r="R1356" s="7" t="str">
        <f>IFERROR(__xludf.DUMMYFUNCTION("""COMPUTED_VALUE"""),"K")</f>
        <v>K</v>
      </c>
    </row>
    <row r="1357" ht="22.5" customHeight="1">
      <c r="A1357" s="6">
        <v>1356.0</v>
      </c>
      <c r="B1357" s="6" t="str">
        <f>IFERROR(__xludf.DUMMYFUNCTION("""COMPUTED_VALUE"""),"Pengelolaan Administrasi Kantor Digital Berbasis Google Workspace")</f>
        <v>Pengelolaan Administrasi Kantor Digital Berbasis Google Workspace</v>
      </c>
      <c r="F1357" s="6" t="str">
        <f>IFERROR(__xludf.DUMMYFUNCTION("""COMPUTED_VALUE"""),"SULIS TIYANINGSIH ")</f>
        <v>SULIS TIYANINGSIH </v>
      </c>
      <c r="G1357" s="6" t="str">
        <f>IFERROR(__xludf.DUMMYFUNCTION("""COMPUTED_VALUE"""),"7471074203080001")</f>
        <v>7471074203080001</v>
      </c>
      <c r="J1357" s="7" t="str">
        <f>IFERROR(__xludf.DUMMYFUNCTION("""COMPUTED_VALUE"""),"PEREMPUAN")</f>
        <v>PEREMPUAN</v>
      </c>
      <c r="K1357" s="6" t="str">
        <f>IFERROR(__xludf.DUMMYFUNCTION("""COMPUTED_VALUE"""),"JL. LALOMBAKU WATULONDO PUUWATU")</f>
        <v>JL. LALOMBAKU WATULONDO PUUWATU</v>
      </c>
      <c r="R1357" s="7" t="str">
        <f>IFERROR(__xludf.DUMMYFUNCTION("""COMPUTED_VALUE"""),"K")</f>
        <v>K</v>
      </c>
    </row>
    <row r="1358" ht="22.5" customHeight="1">
      <c r="A1358" s="6">
        <v>1357.0</v>
      </c>
      <c r="B1358" s="6" t="str">
        <f>IFERROR(__xludf.DUMMYFUNCTION("""COMPUTED_VALUE"""),"Pengelolaan Administrasi Kantor Digital Berbasis Google Workspace")</f>
        <v>Pengelolaan Administrasi Kantor Digital Berbasis Google Workspace</v>
      </c>
      <c r="F1358" s="6" t="str">
        <f>IFERROR(__xludf.DUMMYFUNCTION("""COMPUTED_VALUE"""),"AMELIA")</f>
        <v>AMELIA</v>
      </c>
      <c r="G1358" s="6" t="str">
        <f>IFERROR(__xludf.DUMMYFUNCTION("""COMPUTED_VALUE"""),"7471074307080003")</f>
        <v>7471074307080003</v>
      </c>
      <c r="J1358" s="7" t="str">
        <f>IFERROR(__xludf.DUMMYFUNCTION("""COMPUTED_VALUE"""),"PEREMPUAN")</f>
        <v>PEREMPUAN</v>
      </c>
      <c r="K1358" s="6" t="str">
        <f>IFERROR(__xludf.DUMMYFUNCTION("""COMPUTED_VALUE"""),"JL. PATTIMURA LR HURAMI NO 7 E")</f>
        <v>JL. PATTIMURA LR HURAMI NO 7 E</v>
      </c>
      <c r="R1358" s="7" t="str">
        <f>IFERROR(__xludf.DUMMYFUNCTION("""COMPUTED_VALUE"""),"K")</f>
        <v>K</v>
      </c>
    </row>
    <row r="1359" ht="22.5" customHeight="1">
      <c r="A1359" s="6">
        <v>1358.0</v>
      </c>
      <c r="B1359" s="6" t="str">
        <f>IFERROR(__xludf.DUMMYFUNCTION("""COMPUTED_VALUE"""),"Pengelolaan Administrasi Kantor Digital Berbasis Google Workspace")</f>
        <v>Pengelolaan Administrasi Kantor Digital Berbasis Google Workspace</v>
      </c>
      <c r="F1359" s="6" t="str">
        <f>IFERROR(__xludf.DUMMYFUNCTION("""COMPUTED_VALUE"""),"NAUFAL RIFQI WIRYAWAN")</f>
        <v>NAUFAL RIFQI WIRYAWAN</v>
      </c>
      <c r="G1359" s="6" t="str">
        <f>IFERROR(__xludf.DUMMYFUNCTION("""COMPUTED_VALUE"""),"7471081207080002")</f>
        <v>7471081207080002</v>
      </c>
      <c r="J1359" s="7" t="str">
        <f>IFERROR(__xludf.DUMMYFUNCTION("""COMPUTED_VALUE"""),"LAKI-LAKI")</f>
        <v>LAKI-LAKI</v>
      </c>
      <c r="K1359" s="6" t="str">
        <f>IFERROR(__xludf.DUMMYFUNCTION("""COMPUTED_VALUE"""),"BARUGA BTN TEPOROMBUA BLOK B4")</f>
        <v>BARUGA BTN TEPOROMBUA BLOK B4</v>
      </c>
      <c r="R1359" s="7" t="str">
        <f>IFERROR(__xludf.DUMMYFUNCTION("""COMPUTED_VALUE"""),"K")</f>
        <v>K</v>
      </c>
    </row>
    <row r="1360" ht="22.5" customHeight="1">
      <c r="A1360" s="6">
        <v>1359.0</v>
      </c>
      <c r="B1360" s="6" t="str">
        <f>IFERROR(__xludf.DUMMYFUNCTION("""COMPUTED_VALUE"""),"Pengelolaan Administrasi Kantor Digital Berbasis Google Workspace")</f>
        <v>Pengelolaan Administrasi Kantor Digital Berbasis Google Workspace</v>
      </c>
      <c r="F1360" s="6" t="str">
        <f>IFERROR(__xludf.DUMMYFUNCTION("""COMPUTED_VALUE"""),"SURYA RAFI MAHADANA")</f>
        <v>SURYA RAFI MAHADANA</v>
      </c>
      <c r="G1360" s="6" t="str">
        <f>IFERROR(__xludf.DUMMYFUNCTION("""COMPUTED_VALUE"""),"7404081012080001")</f>
        <v>7404081012080001</v>
      </c>
      <c r="J1360" s="7" t="str">
        <f>IFERROR(__xludf.DUMMYFUNCTION("""COMPUTED_VALUE"""),"LAKI-LAKI")</f>
        <v>LAKI-LAKI</v>
      </c>
      <c r="K1360" s="6" t="str">
        <f>IFERROR(__xludf.DUMMYFUNCTION("""COMPUTED_VALUE"""),"JL.SARANANI")</f>
        <v>JL.SARANANI</v>
      </c>
      <c r="R1360" s="7" t="str">
        <f>IFERROR(__xludf.DUMMYFUNCTION("""COMPUTED_VALUE"""),"K")</f>
        <v>K</v>
      </c>
    </row>
    <row r="1361" ht="22.5" customHeight="1">
      <c r="A1361" s="6">
        <v>1360.0</v>
      </c>
      <c r="B1361" s="6" t="str">
        <f>IFERROR(__xludf.DUMMYFUNCTION("""COMPUTED_VALUE"""),"Pengelolaan Administrasi Kantor Digital Berbasis Google Workspace")</f>
        <v>Pengelolaan Administrasi Kantor Digital Berbasis Google Workspace</v>
      </c>
      <c r="F1361" s="6" t="str">
        <f>IFERROR(__xludf.DUMMYFUNCTION("""COMPUTED_VALUE"""),"MUH.FATHUR FADIL RAMADAN")</f>
        <v>MUH.FATHUR FADIL RAMADAN</v>
      </c>
      <c r="G1361" s="6" t="str">
        <f>IFERROR(__xludf.DUMMYFUNCTION("""COMPUTED_VALUE"""),"7471070210070002")</f>
        <v>7471070210070002</v>
      </c>
      <c r="J1361" s="7" t="str">
        <f>IFERROR(__xludf.DUMMYFUNCTION("""COMPUTED_VALUE"""),"LAKI-LAKI")</f>
        <v>LAKI-LAKI</v>
      </c>
      <c r="K1361" s="6" t="str">
        <f>IFERROR(__xludf.DUMMYFUNCTION("""COMPUTED_VALUE"""),"JL. PROF. MUH. YAMIN")</f>
        <v>JL. PROF. MUH. YAMIN</v>
      </c>
      <c r="R1361" s="7" t="str">
        <f>IFERROR(__xludf.DUMMYFUNCTION("""COMPUTED_VALUE"""),"K")</f>
        <v>K</v>
      </c>
    </row>
    <row r="1362" ht="22.5" customHeight="1">
      <c r="A1362" s="6">
        <v>1361.0</v>
      </c>
      <c r="B1362" s="6" t="str">
        <f>IFERROR(__xludf.DUMMYFUNCTION("""COMPUTED_VALUE"""),"Pengelolaan Administrasi Kantor Digital Berbasis Google Workspace")</f>
        <v>Pengelolaan Administrasi Kantor Digital Berbasis Google Workspace</v>
      </c>
      <c r="F1362" s="6" t="str">
        <f>IFERROR(__xludf.DUMMYFUNCTION("""COMPUTED_VALUE"""),"SIRAH HASANAH")</f>
        <v>SIRAH HASANAH</v>
      </c>
      <c r="G1362" s="6" t="str">
        <f>IFERROR(__xludf.DUMMYFUNCTION("""COMPUTED_VALUE"""),"7403225609040001")</f>
        <v>7403225609040001</v>
      </c>
      <c r="J1362" s="7" t="str">
        <f>IFERROR(__xludf.DUMMYFUNCTION("""COMPUTED_VALUE"""),"PEREMPUAN")</f>
        <v>PEREMPUAN</v>
      </c>
      <c r="K1362" s="6" t="str">
        <f>IFERROR(__xludf.DUMMYFUNCTION("""COMPUTED_VALUE"""),"BTN PERMATA KHALILA ")</f>
        <v>BTN PERMATA KHALILA </v>
      </c>
      <c r="R1362" s="7" t="str">
        <f>IFERROR(__xludf.DUMMYFUNCTION("""COMPUTED_VALUE"""),"K")</f>
        <v>K</v>
      </c>
    </row>
    <row r="1363" ht="22.5" customHeight="1">
      <c r="A1363" s="6">
        <v>1362.0</v>
      </c>
      <c r="B1363" s="6" t="str">
        <f>IFERROR(__xludf.DUMMYFUNCTION("""COMPUTED_VALUE"""),"Pengelolaan Administrasi Kantor Digital Berbasis Google Workspace")</f>
        <v>Pengelolaan Administrasi Kantor Digital Berbasis Google Workspace</v>
      </c>
      <c r="F1363" s="6" t="str">
        <f>IFERROR(__xludf.DUMMYFUNCTION("""COMPUTED_VALUE"""),"MUHAMMAD RISWAN ARIS")</f>
        <v>MUHAMMAD RISWAN ARIS</v>
      </c>
      <c r="G1363" s="6" t="str">
        <f>IFERROR(__xludf.DUMMYFUNCTION("""COMPUTED_VALUE"""),"7401092812080002")</f>
        <v>7401092812080002</v>
      </c>
      <c r="J1363" s="7" t="str">
        <f>IFERROR(__xludf.DUMMYFUNCTION("""COMPUTED_VALUE"""),"LAKI-LAKI")</f>
        <v>LAKI-LAKI</v>
      </c>
      <c r="K1363" s="6" t="str">
        <f>IFERROR(__xludf.DUMMYFUNCTION("""COMPUTED_VALUE"""),"WANDE")</f>
        <v>WANDE</v>
      </c>
      <c r="R1363" s="7" t="str">
        <f>IFERROR(__xludf.DUMMYFUNCTION("""COMPUTED_VALUE"""),"K")</f>
        <v>K</v>
      </c>
    </row>
    <row r="1364" ht="22.5" customHeight="1">
      <c r="A1364" s="6">
        <v>1363.0</v>
      </c>
      <c r="B1364" s="6" t="str">
        <f>IFERROR(__xludf.DUMMYFUNCTION("""COMPUTED_VALUE"""),"Pengelolaan Administrasi Kantor Digital Berbasis Google Workspace")</f>
        <v>Pengelolaan Administrasi Kantor Digital Berbasis Google Workspace</v>
      </c>
      <c r="F1364" s="6" t="str">
        <f>IFERROR(__xludf.DUMMYFUNCTION("""COMPUTED_VALUE"""),"TYARA EKA RAHMADANI ")</f>
        <v>TYARA EKA RAHMADANI </v>
      </c>
      <c r="G1364" s="6" t="str">
        <f>IFERROR(__xludf.DUMMYFUNCTION("""COMPUTED_VALUE"""),"7201015509080001")</f>
        <v>7201015509080001</v>
      </c>
      <c r="J1364" s="7" t="str">
        <f>IFERROR(__xludf.DUMMYFUNCTION("""COMPUTED_VALUE"""),"PEREMPUAN")</f>
        <v>PEREMPUAN</v>
      </c>
      <c r="K1364" s="6" t="str">
        <f>IFERROR(__xludf.DUMMYFUNCTION("""COMPUTED_VALUE"""),"KELURAHAN SISIPAN KECAMATAN BATUI")</f>
        <v>KELURAHAN SISIPAN KECAMATAN BATUI</v>
      </c>
      <c r="R1364" s="7" t="str">
        <f>IFERROR(__xludf.DUMMYFUNCTION("""COMPUTED_VALUE"""),"K")</f>
        <v>K</v>
      </c>
    </row>
    <row r="1365" ht="22.5" customHeight="1">
      <c r="A1365" s="6">
        <v>1364.0</v>
      </c>
      <c r="B1365" s="6" t="str">
        <f>IFERROR(__xludf.DUMMYFUNCTION("""COMPUTED_VALUE"""),"Pengelolaan Administrasi Kantor Digital Berbasis Google Workspace")</f>
        <v>Pengelolaan Administrasi Kantor Digital Berbasis Google Workspace</v>
      </c>
      <c r="F1365" s="6" t="str">
        <f>IFERROR(__xludf.DUMMYFUNCTION("""COMPUTED_VALUE"""),"SELA RAMADHANI")</f>
        <v>SELA RAMADHANI</v>
      </c>
      <c r="G1365" s="6" t="str">
        <f>IFERROR(__xludf.DUMMYFUNCTION("""COMPUTED_VALUE"""),"7402286209080001")</f>
        <v>7402286209080001</v>
      </c>
      <c r="J1365" s="7" t="str">
        <f>IFERROR(__xludf.DUMMYFUNCTION("""COMPUTED_VALUE"""),"PEREMPUAN")</f>
        <v>PEREMPUAN</v>
      </c>
      <c r="K1365" s="6" t="str">
        <f>IFERROR(__xludf.DUMMYFUNCTION("""COMPUTED_VALUE"""),"DS. LALONONA, KEC. AMONGGEDO, KAB. KONAWE")</f>
        <v>DS. LALONONA, KEC. AMONGGEDO, KAB. KONAWE</v>
      </c>
      <c r="R1365" s="7" t="str">
        <f>IFERROR(__xludf.DUMMYFUNCTION("""COMPUTED_VALUE"""),"K")</f>
        <v>K</v>
      </c>
    </row>
    <row r="1366" ht="22.5" customHeight="1">
      <c r="A1366" s="6">
        <v>1365.0</v>
      </c>
      <c r="B1366" s="6" t="str">
        <f>IFERROR(__xludf.DUMMYFUNCTION("""COMPUTED_VALUE"""),"Pembuatan Konten Visual Untuk Media Sosial")</f>
        <v>Pembuatan Konten Visual Untuk Media Sosial</v>
      </c>
      <c r="F1366" s="6" t="str">
        <f>IFERROR(__xludf.DUMMYFUNCTION("""COMPUTED_VALUE"""),"SELSI MARDIANA")</f>
        <v>SELSI MARDIANA</v>
      </c>
      <c r="G1366" s="6" t="str">
        <f>IFERROR(__xludf.DUMMYFUNCTION("""COMPUTED_VALUE"""),"7402284603080001")</f>
        <v>7402284603080001</v>
      </c>
      <c r="J1366" s="7" t="str">
        <f>IFERROR(__xludf.DUMMYFUNCTION("""COMPUTED_VALUE"""),"PEREMPUAN")</f>
        <v>PEREMPUAN</v>
      </c>
      <c r="K1366" s="6" t="str">
        <f>IFERROR(__xludf.DUMMYFUNCTION("""COMPUTED_VALUE"""),"DES. MATAIWOI KEC. AMONGGEDO KAB. KONAWE")</f>
        <v>DES. MATAIWOI KEC. AMONGGEDO KAB. KONAWE</v>
      </c>
      <c r="R1366" s="7" t="str">
        <f>IFERROR(__xludf.DUMMYFUNCTION("""COMPUTED_VALUE"""),"BK")</f>
        <v>BK</v>
      </c>
    </row>
    <row r="1367" ht="22.5" customHeight="1">
      <c r="A1367" s="6">
        <v>1366.0</v>
      </c>
      <c r="B1367" s="6" t="str">
        <f>IFERROR(__xludf.DUMMYFUNCTION("""COMPUTED_VALUE"""),"Pembuatan Konten Visual Untuk Media Sosial")</f>
        <v>Pembuatan Konten Visual Untuk Media Sosial</v>
      </c>
      <c r="F1367" s="6" t="str">
        <f>IFERROR(__xludf.DUMMYFUNCTION("""COMPUTED_VALUE"""),"MUHAMMAD FADLY SAPUTRA")</f>
        <v>MUHAMMAD FADLY SAPUTRA</v>
      </c>
      <c r="G1367" s="6" t="str">
        <f>IFERROR(__xludf.DUMMYFUNCTION("""COMPUTED_VALUE"""),"7403111211080001")</f>
        <v>7403111211080001</v>
      </c>
      <c r="J1367" s="7" t="str">
        <f>IFERROR(__xludf.DUMMYFUNCTION("""COMPUTED_VALUE"""),"LAKI-LAKI")</f>
        <v>LAKI-LAKI</v>
      </c>
      <c r="K1367" s="6" t="str">
        <f>IFERROR(__xludf.DUMMYFUNCTION("""COMPUTED_VALUE"""),"JL. GUNUNG MERPATI BTN GRAHA KARTIKA INDAH B/06")</f>
        <v>JL. GUNUNG MERPATI BTN GRAHA KARTIKA INDAH B/06</v>
      </c>
      <c r="R1367" s="7" t="str">
        <f>IFERROR(__xludf.DUMMYFUNCTION("""COMPUTED_VALUE"""),"BK")</f>
        <v>BK</v>
      </c>
    </row>
    <row r="1368" ht="22.5" customHeight="1">
      <c r="A1368" s="6">
        <v>1367.0</v>
      </c>
      <c r="B1368" s="6" t="str">
        <f>IFERROR(__xludf.DUMMYFUNCTION("""COMPUTED_VALUE"""),"Pembuatan Konten Visual Untuk Media Sosial")</f>
        <v>Pembuatan Konten Visual Untuk Media Sosial</v>
      </c>
      <c r="F1368" s="6" t="str">
        <f>IFERROR(__xludf.DUMMYFUNCTION("""COMPUTED_VALUE"""),"LA DISMAN ")</f>
        <v>LA DISMAN </v>
      </c>
      <c r="G1368" s="6" t="str">
        <f>IFERROR(__xludf.DUMMYFUNCTION("""COMPUTED_VALUE"""),"7404101610040001")</f>
        <v>7404101610040001</v>
      </c>
      <c r="J1368" s="7" t="str">
        <f>IFERROR(__xludf.DUMMYFUNCTION("""COMPUTED_VALUE"""),"LAKI-LAKI")</f>
        <v>LAKI-LAKI</v>
      </c>
      <c r="K1368" s="6" t="str">
        <f>IFERROR(__xludf.DUMMYFUNCTION("""COMPUTED_VALUE"""),"BAHARI DUA DUSUN BUKU ")</f>
        <v>BAHARI DUA DUSUN BUKU </v>
      </c>
      <c r="R1368" s="7" t="str">
        <f>IFERROR(__xludf.DUMMYFUNCTION("""COMPUTED_VALUE"""),"BK")</f>
        <v>BK</v>
      </c>
    </row>
    <row r="1369" ht="22.5" customHeight="1">
      <c r="A1369" s="6">
        <v>1368.0</v>
      </c>
      <c r="B1369" s="6" t="str">
        <f>IFERROR(__xludf.DUMMYFUNCTION("""COMPUTED_VALUE"""),"Pembuatan Konten Visual Untuk Media Sosial")</f>
        <v>Pembuatan Konten Visual Untuk Media Sosial</v>
      </c>
      <c r="F1369" s="6" t="str">
        <f>IFERROR(__xludf.DUMMYFUNCTION("""COMPUTED_VALUE"""),"A. DEWI YANI")</f>
        <v>A. DEWI YANI</v>
      </c>
      <c r="G1369" s="6" t="str">
        <f>IFERROR(__xludf.DUMMYFUNCTION("""COMPUTED_VALUE"""),"7471015411720003")</f>
        <v>7471015411720003</v>
      </c>
      <c r="J1369" s="7" t="str">
        <f>IFERROR(__xludf.DUMMYFUNCTION("""COMPUTED_VALUE"""),"PEREMPUAN")</f>
        <v>PEREMPUAN</v>
      </c>
      <c r="K1369" s="6" t="str">
        <f>IFERROR(__xludf.DUMMYFUNCTION("""COMPUTED_VALUE"""),"JALAN RONGA 1 B 23 PERUMAHAN TUMBUH 1 KORUMBA")</f>
        <v>JALAN RONGA 1 B 23 PERUMAHAN TUMBUH 1 KORUMBA</v>
      </c>
      <c r="R1369" s="7" t="str">
        <f>IFERROR(__xludf.DUMMYFUNCTION("""COMPUTED_VALUE"""),"K")</f>
        <v>K</v>
      </c>
    </row>
    <row r="1370" ht="22.5" customHeight="1">
      <c r="A1370" s="6">
        <v>1369.0</v>
      </c>
      <c r="B1370" s="6" t="str">
        <f>IFERROR(__xludf.DUMMYFUNCTION("""COMPUTED_VALUE"""),"Pembuatan Konten Visual Untuk Media Sosial")</f>
        <v>Pembuatan Konten Visual Untuk Media Sosial</v>
      </c>
      <c r="F1370" s="6" t="str">
        <f>IFERROR(__xludf.DUMMYFUNCTION("""COMPUTED_VALUE"""),"IRAYANTI RUMPA")</f>
        <v>IRAYANTI RUMPA</v>
      </c>
      <c r="G1370" s="6" t="str">
        <f>IFERROR(__xludf.DUMMYFUNCTION("""COMPUTED_VALUE"""),"7402114605790001")</f>
        <v>7402114605790001</v>
      </c>
      <c r="J1370" s="7" t="str">
        <f>IFERROR(__xludf.DUMMYFUNCTION("""COMPUTED_VALUE"""),"PEREMPUAN")</f>
        <v>PEREMPUAN</v>
      </c>
      <c r="K1370" s="6" t="str">
        <f>IFERROR(__xludf.DUMMYFUNCTION("""COMPUTED_VALUE"""),"DESA.WAWORAHA KEC.SOROPIA KAB.KONAWE ")</f>
        <v>DESA.WAWORAHA KEC.SOROPIA KAB.KONAWE </v>
      </c>
      <c r="R1370" s="7" t="str">
        <f>IFERROR(__xludf.DUMMYFUNCTION("""COMPUTED_VALUE"""),"K")</f>
        <v>K</v>
      </c>
    </row>
    <row r="1371" ht="22.5" customHeight="1">
      <c r="A1371" s="6">
        <v>1370.0</v>
      </c>
      <c r="B1371" s="6" t="str">
        <f>IFERROR(__xludf.DUMMYFUNCTION("""COMPUTED_VALUE"""),"Pembuatan Konten Visual Untuk Media Sosial")</f>
        <v>Pembuatan Konten Visual Untuk Media Sosial</v>
      </c>
      <c r="F1371" s="6" t="str">
        <f>IFERROR(__xludf.DUMMYFUNCTION("""COMPUTED_VALUE"""),"JUMRIN")</f>
        <v>JUMRIN</v>
      </c>
      <c r="G1371" s="6" t="str">
        <f>IFERROR(__xludf.DUMMYFUNCTION("""COMPUTED_VALUE"""),"9171012509900005")</f>
        <v>9171012509900005</v>
      </c>
      <c r="J1371" s="7" t="str">
        <f>IFERROR(__xludf.DUMMYFUNCTION("""COMPUTED_VALUE"""),"LAKI-LAKI")</f>
        <v>LAKI-LAKI</v>
      </c>
      <c r="K1371" s="6" t="str">
        <f>IFERROR(__xludf.DUMMYFUNCTION("""COMPUTED_VALUE"""),"JL.POROS KDI-KLK KM23,RT/RW 001/001 KEL.RAWUA KEC.SAMPARA KAB KONAWE")</f>
        <v>JL.POROS KDI-KLK KM23,RT/RW 001/001 KEL.RAWUA KEC.SAMPARA KAB KONAWE</v>
      </c>
      <c r="R1371" s="7" t="str">
        <f>IFERROR(__xludf.DUMMYFUNCTION("""COMPUTED_VALUE"""),"K")</f>
        <v>K</v>
      </c>
    </row>
    <row r="1372" ht="22.5" customHeight="1">
      <c r="A1372" s="6">
        <v>1371.0</v>
      </c>
      <c r="B1372" s="6" t="str">
        <f>IFERROR(__xludf.DUMMYFUNCTION("""COMPUTED_VALUE"""),"Pembuatan Konten Visual Untuk Media Sosial")</f>
        <v>Pembuatan Konten Visual Untuk Media Sosial</v>
      </c>
      <c r="F1372" s="6" t="str">
        <f>IFERROR(__xludf.DUMMYFUNCTION("""COMPUTED_VALUE"""),"MUHAMMAD ARHAM MUSTAMIN")</f>
        <v>MUHAMMAD ARHAM MUSTAMIN</v>
      </c>
      <c r="G1372" s="6" t="str">
        <f>IFERROR(__xludf.DUMMYFUNCTION("""COMPUTED_VALUE"""),"7471091907070001")</f>
        <v>7471091907070001</v>
      </c>
      <c r="J1372" s="7" t="str">
        <f>IFERROR(__xludf.DUMMYFUNCTION("""COMPUTED_VALUE"""),"LAKI-LAKI")</f>
        <v>LAKI-LAKI</v>
      </c>
      <c r="K1372" s="6" t="str">
        <f>IFERROR(__xludf.DUMMYFUNCTION("""COMPUTED_VALUE"""),"JL HAEBA 4 NO 14")</f>
        <v>JL HAEBA 4 NO 14</v>
      </c>
      <c r="R1372" s="7" t="str">
        <f>IFERROR(__xludf.DUMMYFUNCTION("""COMPUTED_VALUE"""),"K")</f>
        <v>K</v>
      </c>
    </row>
    <row r="1373" ht="22.5" customHeight="1">
      <c r="A1373" s="6">
        <v>1372.0</v>
      </c>
      <c r="B1373" s="6" t="str">
        <f>IFERROR(__xludf.DUMMYFUNCTION("""COMPUTED_VALUE"""),"Pembuatan Konten Visual Untuk Media Sosial")</f>
        <v>Pembuatan Konten Visual Untuk Media Sosial</v>
      </c>
      <c r="F1373" s="6" t="str">
        <f>IFERROR(__xludf.DUMMYFUNCTION("""COMPUTED_VALUE"""),"LUTFI HAIQAL AL - MUBARAK")</f>
        <v>LUTFI HAIQAL AL - MUBARAK</v>
      </c>
      <c r="G1373" s="6" t="str">
        <f>IFERROR(__xludf.DUMMYFUNCTION("""COMPUTED_VALUE"""),"7471092505030001")</f>
        <v>7471092505030001</v>
      </c>
      <c r="J1373" s="7" t="str">
        <f>IFERROR(__xludf.DUMMYFUNCTION("""COMPUTED_VALUE"""),"LAKI-LAKI")</f>
        <v>LAKI-LAKI</v>
      </c>
      <c r="K1373" s="6" t="str">
        <f>IFERROR(__xludf.DUMMYFUNCTION("""COMPUTED_VALUE"""),"JL. CHAIRIL ANWAR KOMP PERMATA LIMA")</f>
        <v>JL. CHAIRIL ANWAR KOMP PERMATA LIMA</v>
      </c>
      <c r="R1373" s="7" t="str">
        <f>IFERROR(__xludf.DUMMYFUNCTION("""COMPUTED_VALUE"""),"K")</f>
        <v>K</v>
      </c>
    </row>
    <row r="1374" ht="22.5" customHeight="1">
      <c r="A1374" s="6">
        <v>1373.0</v>
      </c>
      <c r="B1374" s="6" t="str">
        <f>IFERROR(__xludf.DUMMYFUNCTION("""COMPUTED_VALUE"""),"Pembuatan Konten Visual Untuk Media Sosial")</f>
        <v>Pembuatan Konten Visual Untuk Media Sosial</v>
      </c>
      <c r="F1374" s="6" t="str">
        <f>IFERROR(__xludf.DUMMYFUNCTION("""COMPUTED_VALUE"""),"CAHAYA MUTIARA TOHAMBA")</f>
        <v>CAHAYA MUTIARA TOHAMBA</v>
      </c>
      <c r="G1374" s="6" t="str">
        <f>IFERROR(__xludf.DUMMYFUNCTION("""COMPUTED_VALUE"""),"7405194301080001")</f>
        <v>7405194301080001</v>
      </c>
      <c r="J1374" s="7" t="str">
        <f>IFERROR(__xludf.DUMMYFUNCTION("""COMPUTED_VALUE"""),"PEREMPUAN")</f>
        <v>PEREMPUAN</v>
      </c>
      <c r="K1374" s="6" t="str">
        <f>IFERROR(__xludf.DUMMYFUNCTION("""COMPUTED_VALUE"""),"DESA AMBESEA KEC LAEYA KAB KONAWE SELATAN")</f>
        <v>DESA AMBESEA KEC LAEYA KAB KONAWE SELATAN</v>
      </c>
      <c r="R1374" s="7" t="str">
        <f>IFERROR(__xludf.DUMMYFUNCTION("""COMPUTED_VALUE"""),"K")</f>
        <v>K</v>
      </c>
    </row>
    <row r="1375" ht="22.5" customHeight="1">
      <c r="A1375" s="6">
        <v>1374.0</v>
      </c>
      <c r="B1375" s="6" t="str">
        <f>IFERROR(__xludf.DUMMYFUNCTION("""COMPUTED_VALUE"""),"Pembuatan Konten Visual Untuk Media Sosial")</f>
        <v>Pembuatan Konten Visual Untuk Media Sosial</v>
      </c>
      <c r="F1375" s="6" t="str">
        <f>IFERROR(__xludf.DUMMYFUNCTION("""COMPUTED_VALUE"""),"WIDIASTATI")</f>
        <v>WIDIASTATI</v>
      </c>
      <c r="G1375" s="6" t="str">
        <f>IFERROR(__xludf.DUMMYFUNCTION("""COMPUTED_VALUE"""),"7403266908030002")</f>
        <v>7403266908030002</v>
      </c>
      <c r="J1375" s="7" t="str">
        <f>IFERROR(__xludf.DUMMYFUNCTION("""COMPUTED_VALUE"""),"PEREMPUAN")</f>
        <v>PEREMPUAN</v>
      </c>
      <c r="K1375" s="6" t="str">
        <f>IFERROR(__xludf.DUMMYFUNCTION("""COMPUTED_VALUE"""),"DESA LAFINDE, KEC. BARANGKA, KAB. MUNA BARAT")</f>
        <v>DESA LAFINDE, KEC. BARANGKA, KAB. MUNA BARAT</v>
      </c>
      <c r="R1375" s="7" t="str">
        <f>IFERROR(__xludf.DUMMYFUNCTION("""COMPUTED_VALUE"""),"BK")</f>
        <v>BK</v>
      </c>
    </row>
    <row r="1376" ht="22.5" customHeight="1">
      <c r="A1376" s="6">
        <v>1375.0</v>
      </c>
      <c r="B1376" s="6" t="str">
        <f>IFERROR(__xludf.DUMMYFUNCTION("""COMPUTED_VALUE"""),"Pembuatan Konten Visual Untuk Media Sosial")</f>
        <v>Pembuatan Konten Visual Untuk Media Sosial</v>
      </c>
      <c r="F1376" s="6" t="str">
        <f>IFERROR(__xludf.DUMMYFUNCTION("""COMPUTED_VALUE"""),"SALSA BILA KHAIRUNNISA")</f>
        <v>SALSA BILA KHAIRUNNISA</v>
      </c>
      <c r="G1376" s="6" t="str">
        <f>IFERROR(__xludf.DUMMYFUNCTION("""COMPUTED_VALUE"""),"7405014203080001")</f>
        <v>7405014203080001</v>
      </c>
      <c r="J1376" s="7" t="str">
        <f>IFERROR(__xludf.DUMMYFUNCTION("""COMPUTED_VALUE"""),"PEREMPUAN")</f>
        <v>PEREMPUAN</v>
      </c>
      <c r="K1376" s="6" t="str">
        <f>IFERROR(__xludf.DUMMYFUNCTION("""COMPUTED_VALUE"""),"DUSUN II BOMBA-BOMBA")</f>
        <v>DUSUN II BOMBA-BOMBA</v>
      </c>
      <c r="R1376" s="7" t="str">
        <f>IFERROR(__xludf.DUMMYFUNCTION("""COMPUTED_VALUE"""),"BK")</f>
        <v>BK</v>
      </c>
    </row>
    <row r="1377" ht="22.5" customHeight="1">
      <c r="A1377" s="6">
        <v>1376.0</v>
      </c>
      <c r="B1377" s="6" t="str">
        <f>IFERROR(__xludf.DUMMYFUNCTION("""COMPUTED_VALUE"""),"Pembuatan Konten Visual Untuk Media Sosial")</f>
        <v>Pembuatan Konten Visual Untuk Media Sosial</v>
      </c>
      <c r="F1377" s="6" t="str">
        <f>IFERROR(__xludf.DUMMYFUNCTION("""COMPUTED_VALUE"""),"MUCH.ZAKHARI ANWAR")</f>
        <v>MUCH.ZAKHARI ANWAR</v>
      </c>
      <c r="G1377" s="6" t="str">
        <f>IFERROR(__xludf.DUMMYFUNCTION("""COMPUTED_VALUE"""),"7471092806080001")</f>
        <v>7471092806080001</v>
      </c>
      <c r="J1377" s="7" t="str">
        <f>IFERROR(__xludf.DUMMYFUNCTION("""COMPUTED_VALUE"""),"LAKI-LAKI")</f>
        <v>LAKI-LAKI</v>
      </c>
      <c r="K1377" s="6" t="str">
        <f>IFERROR(__xludf.DUMMYFUNCTION("""COMPUTED_VALUE"""),"WUA WUA, KEC. WUA WUA, KOTA KENDARI")</f>
        <v>WUA WUA, KEC. WUA WUA, KOTA KENDARI</v>
      </c>
      <c r="R1377" s="7" t="str">
        <f>IFERROR(__xludf.DUMMYFUNCTION("""COMPUTED_VALUE"""),"BK")</f>
        <v>BK</v>
      </c>
    </row>
    <row r="1378" ht="22.5" customHeight="1">
      <c r="A1378" s="6">
        <v>1377.0</v>
      </c>
      <c r="B1378" s="6" t="str">
        <f>IFERROR(__xludf.DUMMYFUNCTION("""COMPUTED_VALUE"""),"Pengoperasian Tools Generative AI Untuk Konten Digital dan Bisnis")</f>
        <v>Pengoperasian Tools Generative AI Untuk Konten Digital dan Bisnis</v>
      </c>
      <c r="F1378" s="6" t="str">
        <f>IFERROR(__xludf.DUMMYFUNCTION("""COMPUTED_VALUE"""),"MUHAMMAD RAIL M")</f>
        <v>MUHAMMAD RAIL M</v>
      </c>
      <c r="G1378" s="6" t="str">
        <f>IFERROR(__xludf.DUMMYFUNCTION("""COMPUTED_VALUE"""),"7405162003060001")</f>
        <v>7405162003060001</v>
      </c>
      <c r="J1378" s="7" t="str">
        <f>IFERROR(__xludf.DUMMYFUNCTION("""COMPUTED_VALUE"""),"LAKI-LAKI")</f>
        <v>LAKI-LAKI</v>
      </c>
      <c r="K1378" s="6" t="str">
        <f>IFERROR(__xludf.DUMMYFUNCTION("""COMPUTED_VALUE"""),"LALOWARU, KEC. MORAMO UTARA, KAB.KONAWE SELATAN")</f>
        <v>LALOWARU, KEC. MORAMO UTARA, KAB.KONAWE SELATAN</v>
      </c>
      <c r="R1378" s="7" t="str">
        <f>IFERROR(__xludf.DUMMYFUNCTION("""COMPUTED_VALUE"""),"K")</f>
        <v>K</v>
      </c>
    </row>
    <row r="1379" ht="22.5" customHeight="1">
      <c r="A1379" s="6">
        <v>1378.0</v>
      </c>
      <c r="B1379" s="6" t="str">
        <f>IFERROR(__xludf.DUMMYFUNCTION("""COMPUTED_VALUE"""),"Pengoperasian Tools Generative AI Untuk Konten Digital dan Bisnis")</f>
        <v>Pengoperasian Tools Generative AI Untuk Konten Digital dan Bisnis</v>
      </c>
      <c r="F1379" s="6" t="str">
        <f>IFERROR(__xludf.DUMMYFUNCTION("""COMPUTED_VALUE"""),"RISAL USMAN")</f>
        <v>RISAL USMAN</v>
      </c>
      <c r="G1379" s="6" t="str">
        <f>IFERROR(__xludf.DUMMYFUNCTION("""COMPUTED_VALUE"""),"7302011011050005")</f>
        <v>7302011011050005</v>
      </c>
      <c r="J1379" s="7" t="str">
        <f>IFERROR(__xludf.DUMMYFUNCTION("""COMPUTED_VALUE"""),"LAKI-LAKI")</f>
        <v>LAKI-LAKI</v>
      </c>
      <c r="K1379" s="6" t="str">
        <f>IFERROR(__xludf.DUMMYFUNCTION("""COMPUTED_VALUE"""),"BONTOSUNGGU, KEC. GANTARANG, KAB. BULUKUMBA")</f>
        <v>BONTOSUNGGU, KEC. GANTARANG, KAB. BULUKUMBA</v>
      </c>
      <c r="R1379" s="7" t="str">
        <f>IFERROR(__xludf.DUMMYFUNCTION("""COMPUTED_VALUE"""),"K")</f>
        <v>K</v>
      </c>
    </row>
    <row r="1380" ht="22.5" customHeight="1">
      <c r="A1380" s="6">
        <v>1379.0</v>
      </c>
      <c r="B1380" s="6" t="str">
        <f>IFERROR(__xludf.DUMMYFUNCTION("""COMPUTED_VALUE"""),"Pengoperasian Tools Generative AI Untuk Konten Digital dan Bisnis")</f>
        <v>Pengoperasian Tools Generative AI Untuk Konten Digital dan Bisnis</v>
      </c>
      <c r="F1380" s="6" t="str">
        <f>IFERROR(__xludf.DUMMYFUNCTION("""COMPUTED_VALUE"""),"SAMURI ")</f>
        <v>SAMURI </v>
      </c>
      <c r="G1380" s="6" t="str">
        <f>IFERROR(__xludf.DUMMYFUNCTION("""COMPUTED_VALUE"""),"7471101404840002")</f>
        <v>7471101404840002</v>
      </c>
      <c r="J1380" s="7" t="str">
        <f>IFERROR(__xludf.DUMMYFUNCTION("""COMPUTED_VALUE"""),"LAKI-LAKI")</f>
        <v>LAKI-LAKI</v>
      </c>
      <c r="K1380" s="6" t="str">
        <f>IFERROR(__xludf.DUMMYFUNCTION("""COMPUTED_VALUE"""),"JL BANTENG PERUMAHAN NASWA HILLS BLOK A NO 5 KEL. RAHANDOUNA KEC POASIA KOTA KENDARI SULTRA")</f>
        <v>JL BANTENG PERUMAHAN NASWA HILLS BLOK A NO 5 KEL. RAHANDOUNA KEC POASIA KOTA KENDARI SULTRA</v>
      </c>
      <c r="R1380" s="7" t="str">
        <f>IFERROR(__xludf.DUMMYFUNCTION("""COMPUTED_VALUE"""),"K")</f>
        <v>K</v>
      </c>
    </row>
    <row r="1381" ht="22.5" customHeight="1">
      <c r="A1381" s="6">
        <v>1380.0</v>
      </c>
      <c r="B1381" s="6" t="str">
        <f>IFERROR(__xludf.DUMMYFUNCTION("""COMPUTED_VALUE"""),"Pengoperasian Tools Generative AI Untuk Konten Digital dan Bisnis")</f>
        <v>Pengoperasian Tools Generative AI Untuk Konten Digital dan Bisnis</v>
      </c>
      <c r="F1381" s="6" t="str">
        <f>IFERROR(__xludf.DUMMYFUNCTION("""COMPUTED_VALUE"""),"MUKSIN AL - HAKIM LA MBONE")</f>
        <v>MUKSIN AL - HAKIM LA MBONE</v>
      </c>
      <c r="G1381" s="6" t="str">
        <f>IFERROR(__xludf.DUMMYFUNCTION("""COMPUTED_VALUE"""),"7471091712080002")</f>
        <v>7471091712080002</v>
      </c>
      <c r="J1381" s="7" t="str">
        <f>IFERROR(__xludf.DUMMYFUNCTION("""COMPUTED_VALUE"""),"LAKI-LAKI")</f>
        <v>LAKI-LAKI</v>
      </c>
      <c r="K1381" s="6" t="str">
        <f>IFERROR(__xludf.DUMMYFUNCTION("""COMPUTED_VALUE"""),"KOMPLEKS BTN LATJINTA BLOK I. 1 NO. 10")</f>
        <v>KOMPLEKS BTN LATJINTA BLOK I. 1 NO. 10</v>
      </c>
      <c r="R1381" s="7" t="str">
        <f>IFERROR(__xludf.DUMMYFUNCTION("""COMPUTED_VALUE"""),"K")</f>
        <v>K</v>
      </c>
    </row>
    <row r="1382" ht="22.5" customHeight="1">
      <c r="A1382" s="6">
        <v>1381.0</v>
      </c>
      <c r="B1382" s="6" t="str">
        <f>IFERROR(__xludf.DUMMYFUNCTION("""COMPUTED_VALUE"""),"Pengoperasian Tools Generative AI Untuk Konten Digital dan Bisnis")</f>
        <v>Pengoperasian Tools Generative AI Untuk Konten Digital dan Bisnis</v>
      </c>
      <c r="F1382" s="6" t="str">
        <f>IFERROR(__xludf.DUMMYFUNCTION("""COMPUTED_VALUE"""),"AUFAR ADHLY")</f>
        <v>AUFAR ADHLY</v>
      </c>
      <c r="G1382" s="6" t="str">
        <f>IFERROR(__xludf.DUMMYFUNCTION("""COMPUTED_VALUE"""),"7471081507080003")</f>
        <v>7471081507080003</v>
      </c>
      <c r="J1382" s="7" t="str">
        <f>IFERROR(__xludf.DUMMYFUNCTION("""COMPUTED_VALUE"""),"LAKI-LAKI")</f>
        <v>LAKI-LAKI</v>
      </c>
      <c r="K1382" s="6" t="str">
        <f>IFERROR(__xludf.DUMMYFUNCTION("""COMPUTED_VALUE"""),"JL. A. YANI LR. LAKIDENDE NO. 2")</f>
        <v>JL. A. YANI LR. LAKIDENDE NO. 2</v>
      </c>
      <c r="R1382" s="7" t="str">
        <f>IFERROR(__xludf.DUMMYFUNCTION("""COMPUTED_VALUE"""),"K")</f>
        <v>K</v>
      </c>
    </row>
    <row r="1383" ht="22.5" customHeight="1">
      <c r="A1383" s="6">
        <v>1382.0</v>
      </c>
      <c r="B1383" s="6" t="str">
        <f>IFERROR(__xludf.DUMMYFUNCTION("""COMPUTED_VALUE"""),"Pengoperasian Tools Generative AI Untuk Konten Digital dan Bisnis")</f>
        <v>Pengoperasian Tools Generative AI Untuk Konten Digital dan Bisnis</v>
      </c>
      <c r="F1383" s="6" t="str">
        <f>IFERROR(__xludf.DUMMYFUNCTION("""COMPUTED_VALUE"""),"NUR SYARI'AH HASIM")</f>
        <v>NUR SYARI'AH HASIM</v>
      </c>
      <c r="G1383" s="6" t="str">
        <f>IFERROR(__xludf.DUMMYFUNCTION("""COMPUTED_VALUE"""),"7471044606070001")</f>
        <v>7471044606070001</v>
      </c>
      <c r="J1383" s="7" t="str">
        <f>IFERROR(__xludf.DUMMYFUNCTION("""COMPUTED_VALUE"""),"PEREMPUAN")</f>
        <v>PEREMPUAN</v>
      </c>
      <c r="K1383" s="6" t="str">
        <f>IFERROR(__xludf.DUMMYFUNCTION("""COMPUTED_VALUE"""),"JLN. KANCIL LRG ALPUKAT II ")</f>
        <v>JLN. KANCIL LRG ALPUKAT II </v>
      </c>
      <c r="R1383" s="7" t="str">
        <f>IFERROR(__xludf.DUMMYFUNCTION("""COMPUTED_VALUE"""),"K")</f>
        <v>K</v>
      </c>
    </row>
    <row r="1384" ht="22.5" customHeight="1">
      <c r="A1384" s="6">
        <v>1383.0</v>
      </c>
      <c r="B1384" s="6" t="str">
        <f>IFERROR(__xludf.DUMMYFUNCTION("""COMPUTED_VALUE"""),"Pengoperasian Tools Generative AI Untuk Konten Digital dan Bisnis")</f>
        <v>Pengoperasian Tools Generative AI Untuk Konten Digital dan Bisnis</v>
      </c>
      <c r="F1384" s="6" t="str">
        <f>IFERROR(__xludf.DUMMYFUNCTION("""COMPUTED_VALUE"""),"AULIA NATASYA")</f>
        <v>AULIA NATASYA</v>
      </c>
      <c r="G1384" s="6" t="str">
        <f>IFERROR(__xludf.DUMMYFUNCTION("""COMPUTED_VALUE"""),"7472054101090002")</f>
        <v>7472054101090002</v>
      </c>
      <c r="J1384" s="7" t="str">
        <f>IFERROR(__xludf.DUMMYFUNCTION("""COMPUTED_VALUE"""),"PEREMPUAN")</f>
        <v>PEREMPUAN</v>
      </c>
      <c r="K1384" s="6" t="str">
        <f>IFERROR(__xludf.DUMMYFUNCTION("""COMPUTED_VALUE"""),"LINK.PERUMNAS ")</f>
        <v>LINK.PERUMNAS </v>
      </c>
      <c r="R1384" s="7" t="str">
        <f>IFERROR(__xludf.DUMMYFUNCTION("""COMPUTED_VALUE"""),"K")</f>
        <v>K</v>
      </c>
    </row>
    <row r="1385" ht="22.5" customHeight="1">
      <c r="A1385" s="6">
        <v>1384.0</v>
      </c>
      <c r="B1385" s="6" t="str">
        <f>IFERROR(__xludf.DUMMYFUNCTION("""COMPUTED_VALUE"""),"Pengoperasian Tools Generative AI Untuk Konten Digital dan Bisnis")</f>
        <v>Pengoperasian Tools Generative AI Untuk Konten Digital dan Bisnis</v>
      </c>
      <c r="F1385" s="6" t="str">
        <f>IFERROR(__xludf.DUMMYFUNCTION("""COMPUTED_VALUE"""),"NAJIYATUN KHARIMA ")</f>
        <v>NAJIYATUN KHARIMA </v>
      </c>
      <c r="G1385" s="6" t="str">
        <f>IFERROR(__xludf.DUMMYFUNCTION("""COMPUTED_VALUE"""),"7471106307080001")</f>
        <v>7471106307080001</v>
      </c>
      <c r="J1385" s="7" t="str">
        <f>IFERROR(__xludf.DUMMYFUNCTION("""COMPUTED_VALUE"""),"PEREMPUAN")</f>
        <v>PEREMPUAN</v>
      </c>
      <c r="K1385" s="6" t="str">
        <f>IFERROR(__xludf.DUMMYFUNCTION("""COMPUTED_VALUE"""),"BTN UNHALU BLOK Q NO 10 ")</f>
        <v>BTN UNHALU BLOK Q NO 10 </v>
      </c>
      <c r="R1385" s="7" t="str">
        <f>IFERROR(__xludf.DUMMYFUNCTION("""COMPUTED_VALUE"""),"K")</f>
        <v>K</v>
      </c>
    </row>
    <row r="1386" ht="22.5" customHeight="1">
      <c r="A1386" s="6">
        <v>1385.0</v>
      </c>
      <c r="B1386" s="6" t="str">
        <f>IFERROR(__xludf.DUMMYFUNCTION("""COMPUTED_VALUE"""),"Pengoperasian Tools Generative AI Untuk Konten Digital dan Bisnis")</f>
        <v>Pengoperasian Tools Generative AI Untuk Konten Digital dan Bisnis</v>
      </c>
      <c r="F1386" s="6" t="str">
        <f>IFERROR(__xludf.DUMMYFUNCTION("""COMPUTED_VALUE"""),"TRI ANJELIYANI ZEIN K")</f>
        <v>TRI ANJELIYANI ZEIN K</v>
      </c>
      <c r="G1386" s="6" t="str">
        <f>IFERROR(__xludf.DUMMYFUNCTION("""COMPUTED_VALUE"""),"7405085601080003")</f>
        <v>7405085601080003</v>
      </c>
      <c r="J1386" s="7" t="str">
        <f>IFERROR(__xludf.DUMMYFUNCTION("""COMPUTED_VALUE"""),"PEREMPUAN")</f>
        <v>PEREMPUAN</v>
      </c>
      <c r="K1386" s="6" t="str">
        <f>IFERROR(__xludf.DUMMYFUNCTION("""COMPUTED_VALUE"""),"DESA AMOITO")</f>
        <v>DESA AMOITO</v>
      </c>
      <c r="R1386" s="7" t="str">
        <f>IFERROR(__xludf.DUMMYFUNCTION("""COMPUTED_VALUE"""),"BK")</f>
        <v>BK</v>
      </c>
    </row>
    <row r="1387" ht="22.5" customHeight="1">
      <c r="A1387" s="6">
        <v>1386.0</v>
      </c>
      <c r="B1387" s="6" t="str">
        <f>IFERROR(__xludf.DUMMYFUNCTION("""COMPUTED_VALUE"""),"Pengoperasian Tools Generative AI Untuk Konten Digital dan Bisnis")</f>
        <v>Pengoperasian Tools Generative AI Untuk Konten Digital dan Bisnis</v>
      </c>
      <c r="F1387" s="6" t="str">
        <f>IFERROR(__xludf.DUMMYFUNCTION("""COMPUTED_VALUE"""),"ANNISA DWI SURHUM ")</f>
        <v>ANNISA DWI SURHUM </v>
      </c>
      <c r="G1387" s="6" t="str">
        <f>IFERROR(__xludf.DUMMYFUNCTION("""COMPUTED_VALUE"""),"7407055009080003")</f>
        <v>7407055009080003</v>
      </c>
      <c r="J1387" s="7" t="str">
        <f>IFERROR(__xludf.DUMMYFUNCTION("""COMPUTED_VALUE"""),"PEREMPUAN")</f>
        <v>PEREMPUAN</v>
      </c>
      <c r="K1387" s="6" t="str">
        <f>IFERROR(__xludf.DUMMYFUNCTION("""COMPUTED_VALUE"""),"ASRAMA HAERUNISA, LALOLARA, KEC. KAMBU, KOTA KENDARI ")</f>
        <v>ASRAMA HAERUNISA, LALOLARA, KEC. KAMBU, KOTA KENDARI </v>
      </c>
      <c r="R1387" s="7" t="str">
        <f>IFERROR(__xludf.DUMMYFUNCTION("""COMPUTED_VALUE"""),"K")</f>
        <v>K</v>
      </c>
    </row>
    <row r="1388" ht="22.5" customHeight="1">
      <c r="A1388" s="6">
        <v>1387.0</v>
      </c>
      <c r="B1388" s="6" t="str">
        <f>IFERROR(__xludf.DUMMYFUNCTION("""COMPUTED_VALUE"""),"Pengoperasian Tools Generative AI Untuk Konten Digital dan Bisnis")</f>
        <v>Pengoperasian Tools Generative AI Untuk Konten Digital dan Bisnis</v>
      </c>
      <c r="F1388" s="6" t="str">
        <f>IFERROR(__xludf.DUMMYFUNCTION("""COMPUTED_VALUE"""),"ASMA SHALEHAH")</f>
        <v>ASMA SHALEHAH</v>
      </c>
      <c r="G1388" s="6" t="str">
        <f>IFERROR(__xludf.DUMMYFUNCTION("""COMPUTED_VALUE"""),"7414045606080001")</f>
        <v>7414045606080001</v>
      </c>
      <c r="J1388" s="7" t="str">
        <f>IFERROR(__xludf.DUMMYFUNCTION("""COMPUTED_VALUE"""),"PEREMPUAN")</f>
        <v>PEREMPUAN</v>
      </c>
      <c r="K1388" s="6" t="str">
        <f>IFERROR(__xludf.DUMMYFUNCTION("""COMPUTED_VALUE"""),"BTN UNHALU BLOK C NO 7")</f>
        <v>BTN UNHALU BLOK C NO 7</v>
      </c>
      <c r="R1388" s="7" t="str">
        <f>IFERROR(__xludf.DUMMYFUNCTION("""COMPUTED_VALUE"""),"K")</f>
        <v>K</v>
      </c>
    </row>
    <row r="1389" ht="22.5" customHeight="1">
      <c r="A1389" s="6">
        <v>1388.0</v>
      </c>
      <c r="B1389" s="6" t="str">
        <f>IFERROR(__xludf.DUMMYFUNCTION("""COMPUTED_VALUE"""),"Pengoperasian Tools Generative AI Untuk Konten Digital dan Bisnis")</f>
        <v>Pengoperasian Tools Generative AI Untuk Konten Digital dan Bisnis</v>
      </c>
      <c r="F1389" s="6" t="str">
        <f>IFERROR(__xludf.DUMMYFUNCTION("""COMPUTED_VALUE"""),"LULU LAILIAH AAZIZAH")</f>
        <v>LULU LAILIAH AAZIZAH</v>
      </c>
      <c r="G1389" s="6" t="str">
        <f>IFERROR(__xludf.DUMMYFUNCTION("""COMPUTED_VALUE"""),"7401044212070002")</f>
        <v>7401044212070002</v>
      </c>
      <c r="J1389" s="7" t="str">
        <f>IFERROR(__xludf.DUMMYFUNCTION("""COMPUTED_VALUE"""),"PEREMPUAN")</f>
        <v>PEREMPUAN</v>
      </c>
      <c r="K1389" s="6" t="str">
        <f>IFERROR(__xludf.DUMMYFUNCTION("""COMPUTED_VALUE"""),"JL. TAMALAKI NO. 1 LALOEHA, KOLAKA, SULAWESI TENGGARA")</f>
        <v>JL. TAMALAKI NO. 1 LALOEHA, KOLAKA, SULAWESI TENGGARA</v>
      </c>
      <c r="R1389" s="7" t="str">
        <f>IFERROR(__xludf.DUMMYFUNCTION("""COMPUTED_VALUE"""),"K")</f>
        <v>K</v>
      </c>
    </row>
    <row r="1390" ht="22.5" customHeight="1">
      <c r="A1390" s="6">
        <v>1389.0</v>
      </c>
      <c r="B1390" s="6" t="str">
        <f>IFERROR(__xludf.DUMMYFUNCTION("""COMPUTED_VALUE"""),"Pengoperasian Tools Generative AI Untuk Konten Digital dan Bisnis")</f>
        <v>Pengoperasian Tools Generative AI Untuk Konten Digital dan Bisnis</v>
      </c>
      <c r="F1390" s="6" t="str">
        <f>IFERROR(__xludf.DUMMYFUNCTION("""COMPUTED_VALUE"""),"ATRI WULANDARI")</f>
        <v>ATRI WULANDARI</v>
      </c>
      <c r="G1390" s="6" t="str">
        <f>IFERROR(__xludf.DUMMYFUNCTION("""COMPUTED_VALUE"""),"7405080107060007")</f>
        <v>7405080107060007</v>
      </c>
      <c r="J1390" s="7" t="str">
        <f>IFERROR(__xludf.DUMMYFUNCTION("""COMPUTED_VALUE"""),"PEREMPUAN")</f>
        <v>PEREMPUAN</v>
      </c>
      <c r="K1390" s="6" t="str">
        <f>IFERROR(__xludf.DUMMYFUNCTION("""COMPUTED_VALUE"""),"DESA ONEWILA")</f>
        <v>DESA ONEWILA</v>
      </c>
      <c r="R1390" s="7" t="str">
        <f>IFERROR(__xludf.DUMMYFUNCTION("""COMPUTED_VALUE"""),"K")</f>
        <v>K</v>
      </c>
    </row>
    <row r="1391" ht="22.5" customHeight="1">
      <c r="A1391" s="6">
        <v>1390.0</v>
      </c>
      <c r="B1391" s="6" t="str">
        <f>IFERROR(__xludf.DUMMYFUNCTION("""COMPUTED_VALUE"""),"Perakitan Komponen Fabrikasi")</f>
        <v>Perakitan Komponen Fabrikasi</v>
      </c>
      <c r="F1391" s="6" t="str">
        <f>IFERROR(__xludf.DUMMYFUNCTION("""COMPUTED_VALUE"""),"MUHAMMAD YASSAN")</f>
        <v>MUHAMMAD YASSAN</v>
      </c>
      <c r="G1391" s="6" t="str">
        <f>IFERROR(__xludf.DUMMYFUNCTION("""COMPUTED_VALUE"""),"7471012509020003")</f>
        <v>7471012509020003</v>
      </c>
      <c r="J1391" s="7" t="str">
        <f>IFERROR(__xludf.DUMMYFUNCTION("""COMPUTED_VALUE"""),"LAKI-LAKI")</f>
        <v>LAKI-LAKI</v>
      </c>
      <c r="K1391" s="6" t="str">
        <f>IFERROR(__xludf.DUMMYFUNCTION("""COMPUTED_VALUE"""),"JLN IMAM BONJOL")</f>
        <v>JLN IMAM BONJOL</v>
      </c>
      <c r="R1391" s="7" t="str">
        <f>IFERROR(__xludf.DUMMYFUNCTION("""COMPUTED_VALUE"""),"BK")</f>
        <v>BK</v>
      </c>
    </row>
    <row r="1392" ht="22.5" customHeight="1">
      <c r="A1392" s="6">
        <v>1391.0</v>
      </c>
      <c r="B1392" s="6" t="str">
        <f>IFERROR(__xludf.DUMMYFUNCTION("""COMPUTED_VALUE"""),"Perakitan Komponen Fabrikasi")</f>
        <v>Perakitan Komponen Fabrikasi</v>
      </c>
      <c r="F1392" s="6" t="str">
        <f>IFERROR(__xludf.DUMMYFUNCTION("""COMPUTED_VALUE"""),"MUHAMMAD SUARMAN ")</f>
        <v>MUHAMMAD SUARMAN </v>
      </c>
      <c r="G1392" s="6">
        <f>IFERROR(__xludf.DUMMYFUNCTION("""COMPUTED_VALUE"""),7.47101691098003E14)</f>
        <v>747101691098003</v>
      </c>
      <c r="J1392" s="7" t="str">
        <f>IFERROR(__xludf.DUMMYFUNCTION("""COMPUTED_VALUE"""),"LAKI-LAKI")</f>
        <v>LAKI-LAKI</v>
      </c>
      <c r="K1392" s="6" t="str">
        <f>IFERROR(__xludf.DUMMYFUNCTION("""COMPUTED_VALUE"""),"Jl PDAM Rahandouna ")</f>
        <v>Jl PDAM Rahandouna </v>
      </c>
      <c r="R1392" s="7" t="str">
        <f>IFERROR(__xludf.DUMMYFUNCTION("""COMPUTED_VALUE"""),"BK")</f>
        <v>BK</v>
      </c>
    </row>
    <row r="1393" ht="22.5" customHeight="1">
      <c r="A1393" s="6">
        <v>1392.0</v>
      </c>
      <c r="B1393" s="6" t="str">
        <f>IFERROR(__xludf.DUMMYFUNCTION("""COMPUTED_VALUE"""),"Perakitan Komponen Fabrikasi")</f>
        <v>Perakitan Komponen Fabrikasi</v>
      </c>
      <c r="F1393" s="6" t="str">
        <f>IFERROR(__xludf.DUMMYFUNCTION("""COMPUTED_VALUE"""),"MUHAMMAD BOWFAN ")</f>
        <v>MUHAMMAD BOWFAN </v>
      </c>
      <c r="G1393" s="6" t="str">
        <f>IFERROR(__xludf.DUMMYFUNCTION("""COMPUTED_VALUE"""),"7404112506090003")</f>
        <v>7404112506090003</v>
      </c>
      <c r="J1393" s="7" t="str">
        <f>IFERROR(__xludf.DUMMYFUNCTION("""COMPUTED_VALUE"""),"LAKI-LAKI")</f>
        <v>LAKI-LAKI</v>
      </c>
      <c r="K1393" s="6" t="str">
        <f>IFERROR(__xludf.DUMMYFUNCTION("""COMPUTED_VALUE"""),"TAKIMPO")</f>
        <v>TAKIMPO</v>
      </c>
      <c r="R1393" s="7" t="str">
        <f>IFERROR(__xludf.DUMMYFUNCTION("""COMPUTED_VALUE"""),"K")</f>
        <v>K</v>
      </c>
    </row>
    <row r="1394" ht="22.5" customHeight="1">
      <c r="A1394" s="6">
        <v>1393.0</v>
      </c>
      <c r="B1394" s="6" t="str">
        <f>IFERROR(__xludf.DUMMYFUNCTION("""COMPUTED_VALUE"""),"Perakitan Komponen Fabrikasi")</f>
        <v>Perakitan Komponen Fabrikasi</v>
      </c>
      <c r="F1394" s="6" t="str">
        <f>IFERROR(__xludf.DUMMYFUNCTION("""COMPUTED_VALUE"""),"IRWANSYAH ")</f>
        <v>IRWANSYAH </v>
      </c>
      <c r="G1394" s="6" t="str">
        <f>IFERROR(__xludf.DUMMYFUNCTION("""COMPUTED_VALUE"""),"7404110501080002")</f>
        <v>7404110501080002</v>
      </c>
      <c r="J1394" s="7" t="str">
        <f>IFERROR(__xludf.DUMMYFUNCTION("""COMPUTED_VALUE"""),"LAKI-LAKI")</f>
        <v>LAKI-LAKI</v>
      </c>
      <c r="K1394" s="6" t="str">
        <f>IFERROR(__xludf.DUMMYFUNCTION("""COMPUTED_VALUE"""),"BANAUWE")</f>
        <v>BANAUWE</v>
      </c>
      <c r="R1394" s="7" t="str">
        <f>IFERROR(__xludf.DUMMYFUNCTION("""COMPUTED_VALUE"""),"K")</f>
        <v>K</v>
      </c>
    </row>
    <row r="1395" ht="22.5" customHeight="1">
      <c r="A1395" s="6">
        <v>1394.0</v>
      </c>
      <c r="B1395" s="6" t="str">
        <f>IFERROR(__xludf.DUMMYFUNCTION("""COMPUTED_VALUE"""),"Perakitan Komponen Fabrikasi")</f>
        <v>Perakitan Komponen Fabrikasi</v>
      </c>
      <c r="F1395" s="6" t="str">
        <f>IFERROR(__xludf.DUMMYFUNCTION("""COMPUTED_VALUE"""),"SARLAN")</f>
        <v>SARLAN</v>
      </c>
      <c r="G1395" s="6" t="str">
        <f>IFERROR(__xludf.DUMMYFUNCTION("""COMPUTED_VALUE"""),"7404232407860001")</f>
        <v>7404232407860001</v>
      </c>
      <c r="J1395" s="7" t="str">
        <f>IFERROR(__xludf.DUMMYFUNCTION("""COMPUTED_VALUE"""),"LAKI-LAKI")</f>
        <v>LAKI-LAKI</v>
      </c>
      <c r="K1395" s="6" t="str">
        <f>IFERROR(__xludf.DUMMYFUNCTION("""COMPUTED_VALUE"""),"PASARWAJO")</f>
        <v>PASARWAJO</v>
      </c>
      <c r="R1395" s="7" t="str">
        <f>IFERROR(__xludf.DUMMYFUNCTION("""COMPUTED_VALUE"""),"BK")</f>
        <v>BK</v>
      </c>
    </row>
    <row r="1396" ht="22.5" customHeight="1">
      <c r="A1396" s="6">
        <v>1395.0</v>
      </c>
      <c r="B1396" s="6" t="str">
        <f>IFERROR(__xludf.DUMMYFUNCTION("""COMPUTED_VALUE"""),"Perakitan Komponen Fabrikasi")</f>
        <v>Perakitan Komponen Fabrikasi</v>
      </c>
      <c r="F1396" s="6" t="str">
        <f>IFERROR(__xludf.DUMMYFUNCTION("""COMPUTED_VALUE"""),"MUHAMMAD IRFAN BASRI ")</f>
        <v>MUHAMMAD IRFAN BASRI </v>
      </c>
      <c r="G1396" s="6" t="str">
        <f>IFERROR(__xludf.DUMMYFUNCTION("""COMPUTED_VALUE"""),"7404110310830002")</f>
        <v>7404110310830002</v>
      </c>
      <c r="J1396" s="7" t="str">
        <f>IFERROR(__xludf.DUMMYFUNCTION("""COMPUTED_VALUE"""),"LAKI-LAKI")</f>
        <v>LAKI-LAKI</v>
      </c>
      <c r="K1396" s="6" t="str">
        <f>IFERROR(__xludf.DUMMYFUNCTION("""COMPUTED_VALUE"""),"DUSUN KANCINAA 2 ")</f>
        <v>DUSUN KANCINAA 2 </v>
      </c>
      <c r="R1396" s="7" t="str">
        <f>IFERROR(__xludf.DUMMYFUNCTION("""COMPUTED_VALUE"""),"K")</f>
        <v>K</v>
      </c>
    </row>
    <row r="1397" ht="22.5" customHeight="1">
      <c r="A1397" s="6">
        <v>1396.0</v>
      </c>
      <c r="B1397" s="6" t="str">
        <f>IFERROR(__xludf.DUMMYFUNCTION("""COMPUTED_VALUE"""),"Perakitan Komponen Fabrikasi")</f>
        <v>Perakitan Komponen Fabrikasi</v>
      </c>
      <c r="F1397" s="6" t="str">
        <f>IFERROR(__xludf.DUMMYFUNCTION("""COMPUTED_VALUE"""),"ARIS SAPUTRA ")</f>
        <v>ARIS SAPUTRA </v>
      </c>
      <c r="G1397" s="6" t="str">
        <f>IFERROR(__xludf.DUMMYFUNCTION("""COMPUTED_VALUE"""),"2171062703079005")</f>
        <v>2171062703079005</v>
      </c>
      <c r="J1397" s="7" t="str">
        <f>IFERROR(__xludf.DUMMYFUNCTION("""COMPUTED_VALUE"""),"LAKI-LAKI")</f>
        <v>LAKI-LAKI</v>
      </c>
      <c r="K1397" s="6" t="str">
        <f>IFERROR(__xludf.DUMMYFUNCTION("""COMPUTED_VALUE"""),"BANABUNGI ")</f>
        <v>BANABUNGI </v>
      </c>
      <c r="R1397" s="7" t="str">
        <f>IFERROR(__xludf.DUMMYFUNCTION("""COMPUTED_VALUE"""),"K")</f>
        <v>K</v>
      </c>
    </row>
    <row r="1398" ht="22.5" customHeight="1">
      <c r="A1398" s="6">
        <v>1397.0</v>
      </c>
      <c r="B1398" s="6" t="str">
        <f>IFERROR(__xludf.DUMMYFUNCTION("""COMPUTED_VALUE"""),"Perakitan Komponen Fabrikasi")</f>
        <v>Perakitan Komponen Fabrikasi</v>
      </c>
      <c r="F1398" s="6" t="str">
        <f>IFERROR(__xludf.DUMMYFUNCTION("""COMPUTED_VALUE"""),"FABIN")</f>
        <v>FABIN</v>
      </c>
      <c r="G1398" s="6" t="str">
        <f>IFERROR(__xludf.DUMMYFUNCTION("""COMPUTED_VALUE"""),"7404111308080004")</f>
        <v>7404111308080004</v>
      </c>
      <c r="J1398" s="7" t="str">
        <f>IFERROR(__xludf.DUMMYFUNCTION("""COMPUTED_VALUE"""),"LAKI-LAKI")</f>
        <v>LAKI-LAKI</v>
      </c>
      <c r="K1398" s="6" t="str">
        <f>IFERROR(__xludf.DUMMYFUNCTION("""COMPUTED_VALUE"""),"BANABUNGI")</f>
        <v>BANABUNGI</v>
      </c>
      <c r="R1398" s="7" t="str">
        <f>IFERROR(__xludf.DUMMYFUNCTION("""COMPUTED_VALUE"""),"BK")</f>
        <v>BK</v>
      </c>
    </row>
    <row r="1399" ht="22.5" customHeight="1">
      <c r="A1399" s="6">
        <v>1398.0</v>
      </c>
      <c r="B1399" s="6" t="str">
        <f>IFERROR(__xludf.DUMMYFUNCTION("""COMPUTED_VALUE"""),"Perakitan Komponen Fabrikasi")</f>
        <v>Perakitan Komponen Fabrikasi</v>
      </c>
      <c r="F1399" s="6" t="str">
        <f>IFERROR(__xludf.DUMMYFUNCTION("""COMPUTED_VALUE"""),"EMMANUEL ALFREDO LEDA ")</f>
        <v>EMMANUEL ALFREDO LEDA </v>
      </c>
      <c r="G1399" s="6" t="str">
        <f>IFERROR(__xludf.DUMMYFUNCTION("""COMPUTED_VALUE"""),"7404111104080001")</f>
        <v>7404111104080001</v>
      </c>
      <c r="J1399" s="7" t="str">
        <f>IFERROR(__xludf.DUMMYFUNCTION("""COMPUTED_VALUE"""),"LAKI-LAKI")</f>
        <v>LAKI-LAKI</v>
      </c>
      <c r="K1399" s="6" t="str">
        <f>IFERROR(__xludf.DUMMYFUNCTION("""COMPUTED_VALUE"""),"LINGKUNGAN BATUMATONGKA ")</f>
        <v>LINGKUNGAN BATUMATONGKA </v>
      </c>
      <c r="R1399" s="7" t="str">
        <f>IFERROR(__xludf.DUMMYFUNCTION("""COMPUTED_VALUE"""),"K")</f>
        <v>K</v>
      </c>
    </row>
    <row r="1400" ht="22.5" customHeight="1">
      <c r="A1400" s="6">
        <v>1399.0</v>
      </c>
      <c r="B1400" s="6" t="str">
        <f>IFERROR(__xludf.DUMMYFUNCTION("""COMPUTED_VALUE"""),"Perakitan Komponen Fabrikasi")</f>
        <v>Perakitan Komponen Fabrikasi</v>
      </c>
      <c r="F1400" s="6" t="str">
        <f>IFERROR(__xludf.DUMMYFUNCTION("""COMPUTED_VALUE"""),"MUHAMAD ABDUL MUHARAM MAULANA ")</f>
        <v>MUHAMAD ABDUL MUHARAM MAULANA </v>
      </c>
      <c r="G1400" s="6" t="str">
        <f>IFERROR(__xludf.DUMMYFUNCTION("""COMPUTED_VALUE"""),"7404111001080001")</f>
        <v>7404111001080001</v>
      </c>
      <c r="J1400" s="7" t="str">
        <f>IFERROR(__xludf.DUMMYFUNCTION("""COMPUTED_VALUE"""),"LAKI-LAKI")</f>
        <v>LAKI-LAKI</v>
      </c>
      <c r="K1400" s="6" t="str">
        <f>IFERROR(__xludf.DUMMYFUNCTION("""COMPUTED_VALUE"""),"DONGKALA")</f>
        <v>DONGKALA</v>
      </c>
      <c r="R1400" s="7" t="str">
        <f>IFERROR(__xludf.DUMMYFUNCTION("""COMPUTED_VALUE"""),"K")</f>
        <v>K</v>
      </c>
    </row>
    <row r="1401" ht="22.5" customHeight="1">
      <c r="A1401" s="6">
        <v>1400.0</v>
      </c>
      <c r="B1401" s="6" t="str">
        <f>IFERROR(__xludf.DUMMYFUNCTION("""COMPUTED_VALUE"""),"Perakitan Komponen Fabrikasi")</f>
        <v>Perakitan Komponen Fabrikasi</v>
      </c>
      <c r="F1401" s="6" t="str">
        <f>IFERROR(__xludf.DUMMYFUNCTION("""COMPUTED_VALUE"""),"SABRIN")</f>
        <v>SABRIN</v>
      </c>
      <c r="G1401" s="6" t="str">
        <f>IFERROR(__xludf.DUMMYFUNCTION("""COMPUTED_VALUE"""),"7404110712070001")</f>
        <v>7404110712070001</v>
      </c>
      <c r="J1401" s="7" t="str">
        <f>IFERROR(__xludf.DUMMYFUNCTION("""COMPUTED_VALUE"""),"LAKI-LAKI")</f>
        <v>LAKI-LAKI</v>
      </c>
      <c r="K1401" s="6" t="str">
        <f>IFERROR(__xludf.DUMMYFUNCTION("""COMPUTED_VALUE"""),"KEL.SARAGI")</f>
        <v>KEL.SARAGI</v>
      </c>
      <c r="R1401" s="7" t="str">
        <f>IFERROR(__xludf.DUMMYFUNCTION("""COMPUTED_VALUE"""),"K")</f>
        <v>K</v>
      </c>
    </row>
    <row r="1402" ht="22.5" customHeight="1">
      <c r="A1402" s="6">
        <v>1401.0</v>
      </c>
      <c r="B1402" s="6" t="str">
        <f>IFERROR(__xludf.DUMMYFUNCTION("""COMPUTED_VALUE"""),"Perakitan Komponen Fabrikasi")</f>
        <v>Perakitan Komponen Fabrikasi</v>
      </c>
      <c r="F1402" s="6" t="str">
        <f>IFERROR(__xludf.DUMMYFUNCTION("""COMPUTED_VALUE"""),"MAZIDUN")</f>
        <v>MAZIDUN</v>
      </c>
      <c r="G1402" s="6" t="str">
        <f>IFERROR(__xludf.DUMMYFUNCTION("""COMPUTED_VALUE"""),"6474012002850003")</f>
        <v>6474012002850003</v>
      </c>
      <c r="J1402" s="7" t="str">
        <f>IFERROR(__xludf.DUMMYFUNCTION("""COMPUTED_VALUE"""),"LAKI-LAKI")</f>
        <v>LAKI-LAKI</v>
      </c>
      <c r="K1402" s="6" t="str">
        <f>IFERROR(__xludf.DUMMYFUNCTION("""COMPUTED_VALUE"""),"DUSUN LADATUMBOYO")</f>
        <v>DUSUN LADATUMBOYO</v>
      </c>
      <c r="R1402" s="7" t="str">
        <f>IFERROR(__xludf.DUMMYFUNCTION("""COMPUTED_VALUE"""),"BK")</f>
        <v>BK</v>
      </c>
    </row>
    <row r="1403" ht="22.5" customHeight="1">
      <c r="A1403" s="6">
        <v>1402.0</v>
      </c>
      <c r="B1403" s="6" t="str">
        <f>IFERROR(__xludf.DUMMYFUNCTION("""COMPUTED_VALUE"""),"Perakitan Komponen Fabrikasi")</f>
        <v>Perakitan Komponen Fabrikasi</v>
      </c>
      <c r="F1403" s="6" t="str">
        <f>IFERROR(__xludf.DUMMYFUNCTION("""COMPUTED_VALUE"""),"AGUS TOLAND")</f>
        <v>AGUS TOLAND</v>
      </c>
      <c r="G1403" s="6" t="str">
        <f>IFERROR(__xludf.DUMMYFUNCTION("""COMPUTED_VALUE"""),"7404110608860001")</f>
        <v>7404110608860001</v>
      </c>
      <c r="J1403" s="7" t="str">
        <f>IFERROR(__xludf.DUMMYFUNCTION("""COMPUTED_VALUE"""),"LAKI-LAKI")</f>
        <v>LAKI-LAKI</v>
      </c>
      <c r="K1403" s="6" t="str">
        <f>IFERROR(__xludf.DUMMYFUNCTION("""COMPUTED_VALUE"""),"WAOLE I DESA WOLOWA")</f>
        <v>WAOLE I DESA WOLOWA</v>
      </c>
      <c r="R1403" s="7" t="str">
        <f>IFERROR(__xludf.DUMMYFUNCTION("""COMPUTED_VALUE"""),"K")</f>
        <v>K</v>
      </c>
    </row>
    <row r="1404" ht="22.5" customHeight="1">
      <c r="A1404" s="6">
        <v>1403.0</v>
      </c>
      <c r="B1404" s="6" t="str">
        <f>IFERROR(__xludf.DUMMYFUNCTION("""COMPUTED_VALUE"""),"Perakitan Komponen Fabrikasi")</f>
        <v>Perakitan Komponen Fabrikasi</v>
      </c>
      <c r="F1404" s="6" t="str">
        <f>IFERROR(__xludf.DUMMYFUNCTION("""COMPUTED_VALUE"""),"MUHAMAD TRY ANWAR FEBRIANTO")</f>
        <v>MUHAMAD TRY ANWAR FEBRIANTO</v>
      </c>
      <c r="G1404" s="6" t="str">
        <f>IFERROR(__xludf.DUMMYFUNCTION("""COMPUTED_VALUE"""),"74044111702050002")</f>
        <v>74044111702050002</v>
      </c>
      <c r="J1404" s="7" t="str">
        <f>IFERROR(__xludf.DUMMYFUNCTION("""COMPUTED_VALUE"""),"LAKI-LAKI")</f>
        <v>LAKI-LAKI</v>
      </c>
      <c r="K1404" s="6" t="str">
        <f>IFERROR(__xludf.DUMMYFUNCTION("""COMPUTED_VALUE"""),"DONGKALA")</f>
        <v>DONGKALA</v>
      </c>
      <c r="R1404" s="7" t="str">
        <f>IFERROR(__xludf.DUMMYFUNCTION("""COMPUTED_VALUE"""),"BK")</f>
        <v>BK</v>
      </c>
    </row>
    <row r="1405" ht="22.5" customHeight="1">
      <c r="A1405" s="6">
        <v>1404.0</v>
      </c>
      <c r="B1405" s="6" t="str">
        <f>IFERROR(__xludf.DUMMYFUNCTION("""COMPUTED_VALUE"""),"Perakitan Komponen Fabrikasi")</f>
        <v>Perakitan Komponen Fabrikasi</v>
      </c>
      <c r="F1405" s="6" t="str">
        <f>IFERROR(__xludf.DUMMYFUNCTION("""COMPUTED_VALUE"""),"HIDAYAT APRIYANDI JUFRIN")</f>
        <v>HIDAYAT APRIYANDI JUFRIN</v>
      </c>
      <c r="G1405" s="6" t="str">
        <f>IFERROR(__xludf.DUMMYFUNCTION("""COMPUTED_VALUE"""),"7404240311060001")</f>
        <v>7404240311060001</v>
      </c>
      <c r="J1405" s="7" t="str">
        <f>IFERROR(__xludf.DUMMYFUNCTION("""COMPUTED_VALUE"""),"LAKI-LAKI")</f>
        <v>LAKI-LAKI</v>
      </c>
      <c r="K1405" s="6" t="str">
        <f>IFERROR(__xludf.DUMMYFUNCTION("""COMPUTED_VALUE"""),"JALAN JERINCI SIONTAPINA")</f>
        <v>JALAN JERINCI SIONTAPINA</v>
      </c>
      <c r="R1405" s="7" t="str">
        <f>IFERROR(__xludf.DUMMYFUNCTION("""COMPUTED_VALUE"""),"BK")</f>
        <v>BK</v>
      </c>
    </row>
    <row r="1406" ht="22.5" customHeight="1">
      <c r="A1406" s="6">
        <v>1405.0</v>
      </c>
      <c r="B1406" s="6" t="str">
        <f>IFERROR(__xludf.DUMMYFUNCTION("""COMPUTED_VALUE"""),"Computer Operator Assistant ")</f>
        <v>Computer Operator Assistant </v>
      </c>
      <c r="F1406" s="6" t="str">
        <f>IFERROR(__xludf.DUMMYFUNCTION("""COMPUTED_VALUE"""),"MUHAMMAD FAHRIL FADSAM")</f>
        <v>MUHAMMAD FAHRIL FADSAM</v>
      </c>
      <c r="G1406" s="6" t="str">
        <f>IFERROR(__xludf.DUMMYFUNCTION("""COMPUTED_VALUE"""),"7404110311070001")</f>
        <v>7404110311070001</v>
      </c>
      <c r="J1406" s="7" t="str">
        <f>IFERROR(__xludf.DUMMYFUNCTION("""COMPUTED_VALUE"""),"LAKI-LAKI")</f>
        <v>LAKI-LAKI</v>
      </c>
      <c r="K1406" s="6" t="str">
        <f>IFERROR(__xludf.DUMMYFUNCTION("""COMPUTED_VALUE"""),"LINGK BAHALI")</f>
        <v>LINGK BAHALI</v>
      </c>
      <c r="R1406" s="7" t="str">
        <f>IFERROR(__xludf.DUMMYFUNCTION("""COMPUTED_VALUE"""),"K")</f>
        <v>K</v>
      </c>
    </row>
    <row r="1407" ht="22.5" customHeight="1">
      <c r="A1407" s="6">
        <v>1406.0</v>
      </c>
      <c r="B1407" s="6" t="str">
        <f>IFERROR(__xludf.DUMMYFUNCTION("""COMPUTED_VALUE"""),"Computer Operator Assistant ")</f>
        <v>Computer Operator Assistant </v>
      </c>
      <c r="F1407" s="6" t="str">
        <f>IFERROR(__xludf.DUMMYFUNCTION("""COMPUTED_VALUE"""),"ANDIKA")</f>
        <v>ANDIKA</v>
      </c>
      <c r="G1407" s="6" t="str">
        <f>IFERROR(__xludf.DUMMYFUNCTION("""COMPUTED_VALUE"""),"7404110411020001")</f>
        <v>7404110411020001</v>
      </c>
      <c r="J1407" s="7" t="str">
        <f>IFERROR(__xludf.DUMMYFUNCTION("""COMPUTED_VALUE"""),"LAKI-LAKI")</f>
        <v>LAKI-LAKI</v>
      </c>
      <c r="K1407" s="6" t="str">
        <f>IFERROR(__xludf.DUMMYFUNCTION("""COMPUTED_VALUE"""),"TAKIMPO")</f>
        <v>TAKIMPO</v>
      </c>
      <c r="R1407" s="7" t="str">
        <f>IFERROR(__xludf.DUMMYFUNCTION("""COMPUTED_VALUE"""),"K")</f>
        <v>K</v>
      </c>
    </row>
    <row r="1408" ht="22.5" customHeight="1">
      <c r="A1408" s="6">
        <v>1407.0</v>
      </c>
      <c r="B1408" s="6" t="str">
        <f>IFERROR(__xludf.DUMMYFUNCTION("""COMPUTED_VALUE"""),"Computer Operator Assistant ")</f>
        <v>Computer Operator Assistant </v>
      </c>
      <c r="F1408" s="6" t="str">
        <f>IFERROR(__xludf.DUMMYFUNCTION("""COMPUTED_VALUE"""),"JULAIHA")</f>
        <v>JULAIHA</v>
      </c>
      <c r="G1408" s="6" t="str">
        <f>IFERROR(__xludf.DUMMYFUNCTION("""COMPUTED_VALUE"""),"7404244808030001")</f>
        <v>7404244808030001</v>
      </c>
      <c r="J1408" s="7" t="str">
        <f>IFERROR(__xludf.DUMMYFUNCTION("""COMPUTED_VALUE"""),"PEREMPUAN")</f>
        <v>PEREMPUAN</v>
      </c>
      <c r="K1408" s="6" t="str">
        <f>IFERROR(__xludf.DUMMYFUNCTION("""COMPUTED_VALUE"""),"DESA AMBUAU INDAH")</f>
        <v>DESA AMBUAU INDAH</v>
      </c>
      <c r="R1408" s="7" t="str">
        <f>IFERROR(__xludf.DUMMYFUNCTION("""COMPUTED_VALUE"""),"K")</f>
        <v>K</v>
      </c>
    </row>
    <row r="1409" ht="22.5" customHeight="1">
      <c r="A1409" s="6">
        <v>1408.0</v>
      </c>
      <c r="B1409" s="6" t="str">
        <f>IFERROR(__xludf.DUMMYFUNCTION("""COMPUTED_VALUE"""),"Computer Operator Assistant ")</f>
        <v>Computer Operator Assistant </v>
      </c>
      <c r="F1409" s="6" t="str">
        <f>IFERROR(__xludf.DUMMYFUNCTION("""COMPUTED_VALUE"""),"WA ODE ASWANTI")</f>
        <v>WA ODE ASWANTI</v>
      </c>
      <c r="G1409" s="6" t="str">
        <f>IFERROR(__xludf.DUMMYFUNCTION("""COMPUTED_VALUE"""),"7404314602000001")</f>
        <v>7404314602000001</v>
      </c>
      <c r="J1409" s="7" t="str">
        <f>IFERROR(__xludf.DUMMYFUNCTION("""COMPUTED_VALUE"""),"PEREMPUAN")</f>
        <v>PEREMPUAN</v>
      </c>
      <c r="K1409" s="6" t="str">
        <f>IFERROR(__xludf.DUMMYFUNCTION("""COMPUTED_VALUE"""),"DESA MANURU, KEC. SIOTAPINA, KAB. BUTON, PROV. SULAWESI TENGGARA")</f>
        <v>DESA MANURU, KEC. SIOTAPINA, KAB. BUTON, PROV. SULAWESI TENGGARA</v>
      </c>
      <c r="R1409" s="7" t="str">
        <f>IFERROR(__xludf.DUMMYFUNCTION("""COMPUTED_VALUE"""),"K")</f>
        <v>K</v>
      </c>
    </row>
    <row r="1410" ht="22.5" customHeight="1">
      <c r="A1410" s="6">
        <v>1409.0</v>
      </c>
      <c r="B1410" s="6" t="str">
        <f>IFERROR(__xludf.DUMMYFUNCTION("""COMPUTED_VALUE"""),"Computer Operator Assistant ")</f>
        <v>Computer Operator Assistant </v>
      </c>
      <c r="F1410" s="6" t="str">
        <f>IFERROR(__xludf.DUMMYFUNCTION("""COMPUTED_VALUE"""),"NUR SATIA")</f>
        <v>NUR SATIA</v>
      </c>
      <c r="G1410" s="6" t="str">
        <f>IFERROR(__xludf.DUMMYFUNCTION("""COMPUTED_VALUE"""),"7404115103020002")</f>
        <v>7404115103020002</v>
      </c>
      <c r="J1410" s="7" t="str">
        <f>IFERROR(__xludf.DUMMYFUNCTION("""COMPUTED_VALUE"""),"PEREMPUAN")</f>
        <v>PEREMPUAN</v>
      </c>
      <c r="K1410" s="6" t="str">
        <f>IFERROR(__xludf.DUMMYFUNCTION("""COMPUTED_VALUE"""),"Dusun awarapia")</f>
        <v>Dusun awarapia</v>
      </c>
      <c r="R1410" s="7" t="str">
        <f>IFERROR(__xludf.DUMMYFUNCTION("""COMPUTED_VALUE"""),"K")</f>
        <v>K</v>
      </c>
    </row>
    <row r="1411" ht="22.5" customHeight="1">
      <c r="A1411" s="6">
        <v>1410.0</v>
      </c>
      <c r="B1411" s="6" t="str">
        <f>IFERROR(__xludf.DUMMYFUNCTION("""COMPUTED_VALUE"""),"Computer Operator Assistant ")</f>
        <v>Computer Operator Assistant </v>
      </c>
      <c r="F1411" s="6" t="str">
        <f>IFERROR(__xludf.DUMMYFUNCTION("""COMPUTED_VALUE"""),"WA ODE MILDA")</f>
        <v>WA ODE MILDA</v>
      </c>
      <c r="G1411" s="6" t="str">
        <f>IFERROR(__xludf.DUMMYFUNCTION("""COMPUTED_VALUE"""),"7404244504080003")</f>
        <v>7404244504080003</v>
      </c>
      <c r="J1411" s="7" t="str">
        <f>IFERROR(__xludf.DUMMYFUNCTION("""COMPUTED_VALUE"""),"PEREMPUAN")</f>
        <v>PEREMPUAN</v>
      </c>
      <c r="K1411" s="6" t="str">
        <f>IFERROR(__xludf.DUMMYFUNCTION("""COMPUTED_VALUE"""),"DUSUN NURMOLAGI")</f>
        <v>DUSUN NURMOLAGI</v>
      </c>
      <c r="R1411" s="7" t="str">
        <f>IFERROR(__xludf.DUMMYFUNCTION("""COMPUTED_VALUE"""),"K")</f>
        <v>K</v>
      </c>
    </row>
    <row r="1412" ht="22.5" customHeight="1">
      <c r="A1412" s="6">
        <v>1411.0</v>
      </c>
      <c r="B1412" s="6" t="str">
        <f>IFERROR(__xludf.DUMMYFUNCTION("""COMPUTED_VALUE"""),"Computer Operator Assistant ")</f>
        <v>Computer Operator Assistant </v>
      </c>
      <c r="F1412" s="6" t="str">
        <f>IFERROR(__xludf.DUMMYFUNCTION("""COMPUTED_VALUE"""),"IYAN")</f>
        <v>IYAN</v>
      </c>
      <c r="G1412" s="6" t="str">
        <f>IFERROR(__xludf.DUMMYFUNCTION("""COMPUTED_VALUE"""),"7404236101980002")</f>
        <v>7404236101980002</v>
      </c>
      <c r="J1412" s="7" t="str">
        <f>IFERROR(__xludf.DUMMYFUNCTION("""COMPUTED_VALUE"""),"PEREMPUAN")</f>
        <v>PEREMPUAN</v>
      </c>
      <c r="K1412" s="6" t="str">
        <f>IFERROR(__xludf.DUMMYFUNCTION("""COMPUTED_VALUE"""),"LINGKUNGAN BATUMATONGKA")</f>
        <v>LINGKUNGAN BATUMATONGKA</v>
      </c>
      <c r="R1412" s="7" t="str">
        <f>IFERROR(__xludf.DUMMYFUNCTION("""COMPUTED_VALUE"""),"K")</f>
        <v>K</v>
      </c>
    </row>
    <row r="1413" ht="22.5" customHeight="1">
      <c r="A1413" s="6">
        <v>1412.0</v>
      </c>
      <c r="B1413" s="6" t="str">
        <f>IFERROR(__xludf.DUMMYFUNCTION("""COMPUTED_VALUE"""),"Computer Operator Assistant ")</f>
        <v>Computer Operator Assistant </v>
      </c>
      <c r="F1413" s="6" t="str">
        <f>IFERROR(__xludf.DUMMYFUNCTION("""COMPUTED_VALUE"""),"YELDA OKTAVIANI ")</f>
        <v>YELDA OKTAVIANI </v>
      </c>
      <c r="G1413" s="6" t="str">
        <f>IFERROR(__xludf.DUMMYFUNCTION("""COMPUTED_VALUE"""),"7404114710020001")</f>
        <v>7404114710020001</v>
      </c>
      <c r="J1413" s="7" t="str">
        <f>IFERROR(__xludf.DUMMYFUNCTION("""COMPUTED_VALUE"""),"PEREMPUAN")</f>
        <v>PEREMPUAN</v>
      </c>
      <c r="K1413" s="6" t="str">
        <f>IFERROR(__xludf.DUMMYFUNCTION("""COMPUTED_VALUE"""),"DUSUN ASA, DESA BANABUNGI, KECAMATAN PASARWAJO ")</f>
        <v>DUSUN ASA, DESA BANABUNGI, KECAMATAN PASARWAJO </v>
      </c>
      <c r="R1413" s="7" t="str">
        <f>IFERROR(__xludf.DUMMYFUNCTION("""COMPUTED_VALUE"""),"K")</f>
        <v>K</v>
      </c>
    </row>
    <row r="1414" ht="22.5" customHeight="1">
      <c r="A1414" s="6">
        <v>1413.0</v>
      </c>
      <c r="B1414" s="6" t="str">
        <f>IFERROR(__xludf.DUMMYFUNCTION("""COMPUTED_VALUE"""),"Computer Operator Assistant ")</f>
        <v>Computer Operator Assistant </v>
      </c>
      <c r="F1414" s="6" t="str">
        <f>IFERROR(__xludf.DUMMYFUNCTION("""COMPUTED_VALUE"""),"WITRI MARDALENA")</f>
        <v>WITRI MARDALENA</v>
      </c>
      <c r="G1414" s="6" t="str">
        <f>IFERROR(__xludf.DUMMYFUNCTION("""COMPUTED_VALUE"""),"7404115001000001")</f>
        <v>7404115001000001</v>
      </c>
      <c r="J1414" s="7" t="str">
        <f>IFERROR(__xludf.DUMMYFUNCTION("""COMPUTED_VALUE"""),"PEREMPUAN")</f>
        <v>PEREMPUAN</v>
      </c>
      <c r="K1414" s="6" t="str">
        <f>IFERROR(__xludf.DUMMYFUNCTION("""COMPUTED_VALUE"""),"LINGKUNGAN BAYMAKMUR, KEL. AWAINULU")</f>
        <v>LINGKUNGAN BAYMAKMUR, KEL. AWAINULU</v>
      </c>
      <c r="R1414" s="7" t="str">
        <f>IFERROR(__xludf.DUMMYFUNCTION("""COMPUTED_VALUE"""),"K")</f>
        <v>K</v>
      </c>
    </row>
    <row r="1415" ht="22.5" customHeight="1">
      <c r="A1415" s="6">
        <v>1414.0</v>
      </c>
      <c r="B1415" s="6" t="str">
        <f>IFERROR(__xludf.DUMMYFUNCTION("""COMPUTED_VALUE"""),"Computer Operator Assistant ")</f>
        <v>Computer Operator Assistant </v>
      </c>
      <c r="F1415" s="6" t="str">
        <f>IFERROR(__xludf.DUMMYFUNCTION("""COMPUTED_VALUE"""),"GANDHAR SIDNAN BHASKARA")</f>
        <v>GANDHAR SIDNAN BHASKARA</v>
      </c>
      <c r="G1415" s="6">
        <f>IFERROR(__xludf.DUMMYFUNCTION("""COMPUTED_VALUE"""),7.4720229080001E13)</f>
        <v>74720229080001</v>
      </c>
      <c r="J1415" s="7" t="str">
        <f>IFERROR(__xludf.DUMMYFUNCTION("""COMPUTED_VALUE"""),"LAKI-LAKI")</f>
        <v>LAKI-LAKI</v>
      </c>
      <c r="K1415" s="6" t="str">
        <f>IFERROR(__xludf.DUMMYFUNCTION("""COMPUTED_VALUE"""),"JL.PATTIMURA NO.40")</f>
        <v>JL.PATTIMURA NO.40</v>
      </c>
      <c r="R1415" s="7" t="str">
        <f>IFERROR(__xludf.DUMMYFUNCTION("""COMPUTED_VALUE"""),"K")</f>
        <v>K</v>
      </c>
    </row>
    <row r="1416" ht="22.5" customHeight="1">
      <c r="A1416" s="6">
        <v>1415.0</v>
      </c>
      <c r="B1416" s="6" t="str">
        <f>IFERROR(__xludf.DUMMYFUNCTION("""COMPUTED_VALUE"""),"Computer Operator Assistant ")</f>
        <v>Computer Operator Assistant </v>
      </c>
      <c r="F1416" s="6" t="str">
        <f>IFERROR(__xludf.DUMMYFUNCTION("""COMPUTED_VALUE"""),"RAHMAT AZI ")</f>
        <v>RAHMAT AZI </v>
      </c>
      <c r="G1416" s="6" t="str">
        <f>IFERROR(__xludf.DUMMYFUNCTION("""COMPUTED_VALUE"""),"7404111503040001")</f>
        <v>7404111503040001</v>
      </c>
      <c r="J1416" s="7" t="str">
        <f>IFERROR(__xludf.DUMMYFUNCTION("""COMPUTED_VALUE"""),"LAKI-LAKI")</f>
        <v>LAKI-LAKI</v>
      </c>
      <c r="K1416" s="6" t="str">
        <f>IFERROR(__xludf.DUMMYFUNCTION("""COMPUTED_VALUE"""),"LINGK. LEPEKA JAYA ")</f>
        <v>LINGK. LEPEKA JAYA </v>
      </c>
      <c r="R1416" s="7" t="str">
        <f>IFERROR(__xludf.DUMMYFUNCTION("""COMPUTED_VALUE"""),"K")</f>
        <v>K</v>
      </c>
    </row>
    <row r="1417" ht="22.5" customHeight="1">
      <c r="A1417" s="6">
        <v>1416.0</v>
      </c>
      <c r="B1417" s="6" t="str">
        <f>IFERROR(__xludf.DUMMYFUNCTION("""COMPUTED_VALUE"""),"Computer Operator Assistant ")</f>
        <v>Computer Operator Assistant </v>
      </c>
      <c r="F1417" s="6" t="str">
        <f>IFERROR(__xludf.DUMMYFUNCTION("""COMPUTED_VALUE"""),"JUMAINAL")</f>
        <v>JUMAINAL</v>
      </c>
      <c r="G1417" s="6" t="str">
        <f>IFERROR(__xludf.DUMMYFUNCTION("""COMPUTED_VALUE"""),"7472020106000005")</f>
        <v>7472020106000005</v>
      </c>
      <c r="J1417" s="7" t="str">
        <f>IFERROR(__xludf.DUMMYFUNCTION("""COMPUTED_VALUE"""),"LAKI-LAKI")</f>
        <v>LAKI-LAKI</v>
      </c>
      <c r="K1417" s="6" t="str">
        <f>IFERROR(__xludf.DUMMYFUNCTION("""COMPUTED_VALUE"""),"JL. JAMBU METE NO. 9")</f>
        <v>JL. JAMBU METE NO. 9</v>
      </c>
      <c r="R1417" s="7" t="str">
        <f>IFERROR(__xludf.DUMMYFUNCTION("""COMPUTED_VALUE"""),"K")</f>
        <v>K</v>
      </c>
    </row>
    <row r="1418" ht="22.5" customHeight="1">
      <c r="A1418" s="6">
        <v>1417.0</v>
      </c>
      <c r="B1418" s="6" t="str">
        <f>IFERROR(__xludf.DUMMYFUNCTION("""COMPUTED_VALUE"""),"Computer Operator Assistant ")</f>
        <v>Computer Operator Assistant </v>
      </c>
      <c r="F1418" s="6" t="str">
        <f>IFERROR(__xludf.DUMMYFUNCTION("""COMPUTED_VALUE"""),"MOUNTHIANA WARDHANI MARAUF ")</f>
        <v>MOUNTHIANA WARDHANI MARAUF </v>
      </c>
      <c r="G1418" s="6">
        <f>IFERROR(__xludf.DUMMYFUNCTION("""COMPUTED_VALUE"""),7.40414207030002E14)</f>
        <v>740414207030002</v>
      </c>
      <c r="J1418" s="7" t="str">
        <f>IFERROR(__xludf.DUMMYFUNCTION("""COMPUTED_VALUE"""),"PEREMPUAN")</f>
        <v>PEREMPUAN</v>
      </c>
      <c r="K1418" s="6" t="str">
        <f>IFERROR(__xludf.DUMMYFUNCTION("""COMPUTED_VALUE"""),"DUSUN ASA, DESA BANABUNGI, KEC. PASARWAJO ")</f>
        <v>DUSUN ASA, DESA BANABUNGI, KEC. PASARWAJO </v>
      </c>
      <c r="R1418" s="7" t="str">
        <f>IFERROR(__xludf.DUMMYFUNCTION("""COMPUTED_VALUE"""),"K")</f>
        <v>K</v>
      </c>
    </row>
    <row r="1419" ht="22.5" customHeight="1">
      <c r="A1419" s="6">
        <v>1418.0</v>
      </c>
      <c r="B1419" s="6" t="str">
        <f>IFERROR(__xludf.DUMMYFUNCTION("""COMPUTED_VALUE"""),"Computer Operator Assistant ")</f>
        <v>Computer Operator Assistant </v>
      </c>
      <c r="F1419" s="6" t="str">
        <f>IFERROR(__xludf.DUMMYFUNCTION("""COMPUTED_VALUE"""),"YULIA SAFIRU")</f>
        <v>YULIA SAFIRU</v>
      </c>
      <c r="G1419" s="6" t="str">
        <f>IFERROR(__xludf.DUMMYFUNCTION("""COMPUTED_VALUE"""),"7404114504000001")</f>
        <v>7404114504000001</v>
      </c>
      <c r="J1419" s="7" t="str">
        <f>IFERROR(__xludf.DUMMYFUNCTION("""COMPUTED_VALUE"""),"PEREMPUAN")</f>
        <v>PEREMPUAN</v>
      </c>
      <c r="K1419" s="6" t="str">
        <f>IFERROR(__xludf.DUMMYFUNCTION("""COMPUTED_VALUE"""),"DUSUN MATANAUWE")</f>
        <v>DUSUN MATANAUWE</v>
      </c>
      <c r="R1419" s="7" t="str">
        <f>IFERROR(__xludf.DUMMYFUNCTION("""COMPUTED_VALUE"""),"K")</f>
        <v>K</v>
      </c>
    </row>
    <row r="1420" ht="22.5" customHeight="1">
      <c r="A1420" s="6">
        <v>1419.0</v>
      </c>
      <c r="B1420" s="6" t="str">
        <f>IFERROR(__xludf.DUMMYFUNCTION("""COMPUTED_VALUE"""),"Computer Operator Assistant ")</f>
        <v>Computer Operator Assistant </v>
      </c>
      <c r="F1420" s="6" t="str">
        <f>IFERROR(__xludf.DUMMYFUNCTION("""COMPUTED_VALUE"""),"ARDIANTI SAMJAYA")</f>
        <v>ARDIANTI SAMJAYA</v>
      </c>
      <c r="G1420" s="6" t="str">
        <f>IFERROR(__xludf.DUMMYFUNCTION("""COMPUTED_VALUE"""),"7404116911000001")</f>
        <v>7404116911000001</v>
      </c>
      <c r="J1420" s="7" t="str">
        <f>IFERROR(__xludf.DUMMYFUNCTION("""COMPUTED_VALUE"""),"PEREMPUAN")</f>
        <v>PEREMPUAN</v>
      </c>
      <c r="K1420" s="6" t="str">
        <f>IFERROR(__xludf.DUMMYFUNCTION("""COMPUTED_VALUE"""),"KELURAHAN TAKIMPO, LORONG WANGKARABI")</f>
        <v>KELURAHAN TAKIMPO, LORONG WANGKARABI</v>
      </c>
      <c r="R1420" s="7" t="str">
        <f>IFERROR(__xludf.DUMMYFUNCTION("""COMPUTED_VALUE"""),"K")</f>
        <v>K</v>
      </c>
    </row>
    <row r="1421" ht="22.5" customHeight="1">
      <c r="A1421" s="6">
        <v>1420.0</v>
      </c>
      <c r="B1421" s="6" t="str">
        <f>IFERROR(__xludf.DUMMYFUNCTION("""COMPUTED_VALUE"""),"Computer Operator Assistant ")</f>
        <v>Computer Operator Assistant </v>
      </c>
      <c r="F1421" s="6" t="str">
        <f>IFERROR(__xludf.DUMMYFUNCTION("""COMPUTED_VALUE"""),"SAFINA AFSYARI ")</f>
        <v>SAFINA AFSYARI </v>
      </c>
      <c r="G1421" s="6" t="str">
        <f>IFERROR(__xludf.DUMMYFUNCTION("""COMPUTED_VALUE"""),"7404315701070001")</f>
        <v>7404315701070001</v>
      </c>
      <c r="J1421" s="7" t="str">
        <f>IFERROR(__xludf.DUMMYFUNCTION("""COMPUTED_VALUE"""),"PEREMPUAN")</f>
        <v>PEREMPUAN</v>
      </c>
      <c r="K1421" s="6" t="str">
        <f>IFERROR(__xludf.DUMMYFUNCTION("""COMPUTED_VALUE"""),"DUSUN WALOMPO II")</f>
        <v>DUSUN WALOMPO II</v>
      </c>
      <c r="R1421" s="7" t="str">
        <f>IFERROR(__xludf.DUMMYFUNCTION("""COMPUTED_VALUE"""),"K")</f>
        <v>K</v>
      </c>
    </row>
    <row r="1422" ht="22.5" customHeight="1">
      <c r="A1422" s="6">
        <v>1421.0</v>
      </c>
      <c r="B1422" s="6" t="str">
        <f>IFERROR(__xludf.DUMMYFUNCTION("""COMPUTED_VALUE"""),"Service Sepeda Motor Injeksi")</f>
        <v>Service Sepeda Motor Injeksi</v>
      </c>
      <c r="F1422" s="6" t="str">
        <f>IFERROR(__xludf.DUMMYFUNCTION("""COMPUTED_VALUE"""),"SHAYLENDRA ARYA KHANAF ")</f>
        <v>SHAYLENDRA ARYA KHANAF </v>
      </c>
      <c r="G1422" s="6" t="str">
        <f>IFERROR(__xludf.DUMMYFUNCTION("""COMPUTED_VALUE"""),"7472062208080001")</f>
        <v>7472062208080001</v>
      </c>
      <c r="J1422" s="7" t="str">
        <f>IFERROR(__xludf.DUMMYFUNCTION("""COMPUTED_VALUE"""),"LAKI-LAKI")</f>
        <v>LAKI-LAKI</v>
      </c>
      <c r="K1422" s="6" t="str">
        <f>IFERROR(__xludf.DUMMYFUNCTION("""COMPUTED_VALUE"""),"JL.CAKALANG")</f>
        <v>JL.CAKALANG</v>
      </c>
      <c r="R1422" s="7" t="str">
        <f>IFERROR(__xludf.DUMMYFUNCTION("""COMPUTED_VALUE"""),"K")</f>
        <v>K</v>
      </c>
    </row>
    <row r="1423" ht="22.5" customHeight="1">
      <c r="A1423" s="6">
        <v>1422.0</v>
      </c>
      <c r="B1423" s="6" t="str">
        <f>IFERROR(__xludf.DUMMYFUNCTION("""COMPUTED_VALUE"""),"Service Sepeda Motor Injeksi")</f>
        <v>Service Sepeda Motor Injeksi</v>
      </c>
      <c r="F1423" s="6" t="str">
        <f>IFERROR(__xludf.DUMMYFUNCTION("""COMPUTED_VALUE"""),"SITI FAIRUS NABILA")</f>
        <v>SITI FAIRUS NABILA</v>
      </c>
      <c r="G1423" s="6" t="str">
        <f>IFERROR(__xludf.DUMMYFUNCTION("""COMPUTED_VALUE"""),"7404116210050000")</f>
        <v>7404116210050000</v>
      </c>
      <c r="J1423" s="7" t="str">
        <f>IFERROR(__xludf.DUMMYFUNCTION("""COMPUTED_VALUE"""),"PEREMPUAN")</f>
        <v>PEREMPUAN</v>
      </c>
      <c r="K1423" s="6"/>
      <c r="R1423" s="7" t="str">
        <f>IFERROR(__xludf.DUMMYFUNCTION("""COMPUTED_VALUE"""),"K")</f>
        <v>K</v>
      </c>
    </row>
    <row r="1424" ht="22.5" customHeight="1">
      <c r="A1424" s="6">
        <v>1423.0</v>
      </c>
      <c r="B1424" s="6" t="str">
        <f>IFERROR(__xludf.DUMMYFUNCTION("""COMPUTED_VALUE"""),"Service Sepeda Motor Injeksi")</f>
        <v>Service Sepeda Motor Injeksi</v>
      </c>
      <c r="F1424" s="6" t="str">
        <f>IFERROR(__xludf.DUMMYFUNCTION("""COMPUTED_VALUE"""),"AHMAD FARIL")</f>
        <v>AHMAD FARIL</v>
      </c>
      <c r="G1424" s="6" t="str">
        <f>IFERROR(__xludf.DUMMYFUNCTION("""COMPUTED_VALUE"""),"7472061711080002")</f>
        <v>7472061711080002</v>
      </c>
      <c r="J1424" s="7" t="str">
        <f>IFERROR(__xludf.DUMMYFUNCTION("""COMPUTED_VALUE"""),"LAKI-LAKI")</f>
        <v>LAKI-LAKI</v>
      </c>
      <c r="K1424" s="6" t="str">
        <f>IFERROR(__xludf.DUMMYFUNCTION("""COMPUTED_VALUE"""),"KADOLO")</f>
        <v>KADOLO</v>
      </c>
      <c r="R1424" s="7" t="str">
        <f>IFERROR(__xludf.DUMMYFUNCTION("""COMPUTED_VALUE"""),"BK")</f>
        <v>BK</v>
      </c>
    </row>
    <row r="1425" ht="22.5" customHeight="1">
      <c r="A1425" s="6">
        <v>1424.0</v>
      </c>
      <c r="B1425" s="6" t="str">
        <f>IFERROR(__xludf.DUMMYFUNCTION("""COMPUTED_VALUE"""),"Service Sepeda Motor Injeksi")</f>
        <v>Service Sepeda Motor Injeksi</v>
      </c>
      <c r="F1425" s="6" t="str">
        <f>IFERROR(__xludf.DUMMYFUNCTION("""COMPUTED_VALUE"""),"WAGE NOBI WIDI ARFA")</f>
        <v>WAGE NOBI WIDI ARFA</v>
      </c>
      <c r="G1425" s="6" t="str">
        <f>IFERROR(__xludf.DUMMYFUNCTION("""COMPUTED_VALUE"""),"7404110703080001")</f>
        <v>7404110703080001</v>
      </c>
      <c r="J1425" s="7" t="str">
        <f>IFERROR(__xludf.DUMMYFUNCTION("""COMPUTED_VALUE"""),"LAKI-LAKI")</f>
        <v>LAKI-LAKI</v>
      </c>
      <c r="K1425" s="6" t="str">
        <f>IFERROR(__xludf.DUMMYFUNCTION("""COMPUTED_VALUE"""),"DUSUN KOMPLEKS")</f>
        <v>DUSUN KOMPLEKS</v>
      </c>
      <c r="R1425" s="7" t="str">
        <f>IFERROR(__xludf.DUMMYFUNCTION("""COMPUTED_VALUE"""),"BK")</f>
        <v>BK</v>
      </c>
    </row>
    <row r="1426" ht="22.5" customHeight="1">
      <c r="A1426" s="6">
        <v>1425.0</v>
      </c>
      <c r="B1426" s="6" t="str">
        <f>IFERROR(__xludf.DUMMYFUNCTION("""COMPUTED_VALUE"""),"Service Sepeda Motor Injeksi")</f>
        <v>Service Sepeda Motor Injeksi</v>
      </c>
      <c r="F1426" s="6" t="str">
        <f>IFERROR(__xludf.DUMMYFUNCTION("""COMPUTED_VALUE"""),"LA RASIDU")</f>
        <v>LA RASIDU</v>
      </c>
      <c r="G1426" s="6" t="str">
        <f>IFERROR(__xludf.DUMMYFUNCTION("""COMPUTED_VALUE"""),"7404240704930001")</f>
        <v>7404240704930001</v>
      </c>
      <c r="J1426" s="7" t="str">
        <f>IFERROR(__xludf.DUMMYFUNCTION("""COMPUTED_VALUE"""),"LAKI-LAKI")</f>
        <v>LAKI-LAKI</v>
      </c>
      <c r="K1426" s="6" t="str">
        <f>IFERROR(__xludf.DUMMYFUNCTION("""COMPUTED_VALUE"""),"LING. WANGKARABI KEL. TAKIMPO KEC. PASARWAJO")</f>
        <v>LING. WANGKARABI KEL. TAKIMPO KEC. PASARWAJO</v>
      </c>
      <c r="R1426" s="7" t="str">
        <f>IFERROR(__xludf.DUMMYFUNCTION("""COMPUTED_VALUE"""),"BK")</f>
        <v>BK</v>
      </c>
    </row>
    <row r="1427" ht="22.5" customHeight="1">
      <c r="A1427" s="6">
        <v>1426.0</v>
      </c>
      <c r="B1427" s="6" t="str">
        <f>IFERROR(__xludf.DUMMYFUNCTION("""COMPUTED_VALUE"""),"Service Sepeda Motor Injeksi")</f>
        <v>Service Sepeda Motor Injeksi</v>
      </c>
      <c r="F1427" s="6" t="str">
        <f>IFERROR(__xludf.DUMMYFUNCTION("""COMPUTED_VALUE"""),"JEHAN ZASKIA HARDAWAN")</f>
        <v>JEHAN ZASKIA HARDAWAN</v>
      </c>
      <c r="G1427" s="6" t="str">
        <f>IFERROR(__xludf.DUMMYFUNCTION("""COMPUTED_VALUE"""),"7404116807070001")</f>
        <v>7404116807070001</v>
      </c>
      <c r="J1427" s="7" t="str">
        <f>IFERROR(__xludf.DUMMYFUNCTION("""COMPUTED_VALUE"""),"PEREMPUAN")</f>
        <v>PEREMPUAN</v>
      </c>
      <c r="K1427" s="6" t="str">
        <f>IFERROR(__xludf.DUMMYFUNCTION("""COMPUTED_VALUE"""),"KELURAHAN TAKIMPO,LINGKUNGAN KAMPUNG BARU,BELAKANG KUD LAMA")</f>
        <v>KELURAHAN TAKIMPO,LINGKUNGAN KAMPUNG BARU,BELAKANG KUD LAMA</v>
      </c>
      <c r="R1427" s="7" t="str">
        <f>IFERROR(__xludf.DUMMYFUNCTION("""COMPUTED_VALUE"""),"K")</f>
        <v>K</v>
      </c>
    </row>
    <row r="1428" ht="22.5" customHeight="1">
      <c r="A1428" s="6">
        <v>1427.0</v>
      </c>
      <c r="B1428" s="6" t="str">
        <f>IFERROR(__xludf.DUMMYFUNCTION("""COMPUTED_VALUE"""),"Service Sepeda Motor Injeksi")</f>
        <v>Service Sepeda Motor Injeksi</v>
      </c>
      <c r="F1428" s="6" t="str">
        <f>IFERROR(__xludf.DUMMYFUNCTION("""COMPUTED_VALUE"""),"ANDINI SEPTIYANI ")</f>
        <v>ANDINI SEPTIYANI </v>
      </c>
      <c r="G1428" s="6" t="str">
        <f>IFERROR(__xludf.DUMMYFUNCTION("""COMPUTED_VALUE"""),"7404116409080001")</f>
        <v>7404116409080001</v>
      </c>
      <c r="J1428" s="7" t="str">
        <f>IFERROR(__xludf.DUMMYFUNCTION("""COMPUTED_VALUE"""),"PEREMPUAN")</f>
        <v>PEREMPUAN</v>
      </c>
      <c r="K1428" s="6" t="str">
        <f>IFERROR(__xludf.DUMMYFUNCTION("""COMPUTED_VALUE"""),"DUSUN AWAUNGGE ")</f>
        <v>DUSUN AWAUNGGE </v>
      </c>
      <c r="R1428" s="7" t="str">
        <f>IFERROR(__xludf.DUMMYFUNCTION("""COMPUTED_VALUE"""),"BK")</f>
        <v>BK</v>
      </c>
    </row>
    <row r="1429" ht="22.5" customHeight="1">
      <c r="A1429" s="6">
        <v>1428.0</v>
      </c>
      <c r="B1429" s="6" t="str">
        <f>IFERROR(__xludf.DUMMYFUNCTION("""COMPUTED_VALUE"""),"Service Sepeda Motor Injeksi")</f>
        <v>Service Sepeda Motor Injeksi</v>
      </c>
      <c r="F1429" s="6" t="str">
        <f>IFERROR(__xludf.DUMMYFUNCTION("""COMPUTED_VALUE"""),"JESTINO ANDRE PRATAMA")</f>
        <v>JESTINO ANDRE PRATAMA</v>
      </c>
      <c r="G1429" s="6" t="str">
        <f>IFERROR(__xludf.DUMMYFUNCTION("""COMPUTED_VALUE"""),"9115082707030001")</f>
        <v>9115082707030001</v>
      </c>
      <c r="J1429" s="7" t="str">
        <f>IFERROR(__xludf.DUMMYFUNCTION("""COMPUTED_VALUE"""),"LAKI-LAKI")</f>
        <v>LAKI-LAKI</v>
      </c>
      <c r="K1429" s="6" t="str">
        <f>IFERROR(__xludf.DUMMYFUNCTION("""COMPUTED_VALUE"""),"JL. ANOA NO 33")</f>
        <v>JL. ANOA NO 33</v>
      </c>
      <c r="R1429" s="7" t="str">
        <f>IFERROR(__xludf.DUMMYFUNCTION("""COMPUTED_VALUE"""),"BK")</f>
        <v>BK</v>
      </c>
    </row>
    <row r="1430" ht="22.5" customHeight="1">
      <c r="A1430" s="6">
        <v>1429.0</v>
      </c>
      <c r="B1430" s="6" t="str">
        <f>IFERROR(__xludf.DUMMYFUNCTION("""COMPUTED_VALUE"""),"Service Sepeda Motor Injeksi")</f>
        <v>Service Sepeda Motor Injeksi</v>
      </c>
      <c r="F1430" s="6" t="str">
        <f>IFERROR(__xludf.DUMMYFUNCTION("""COMPUTED_VALUE"""),"AGUS")</f>
        <v>AGUS</v>
      </c>
      <c r="G1430" s="6" t="str">
        <f>IFERROR(__xludf.DUMMYFUNCTION("""COMPUTED_VALUE"""),"7404110608860000")</f>
        <v>7404110608860000</v>
      </c>
      <c r="J1430" s="7" t="str">
        <f>IFERROR(__xludf.DUMMYFUNCTION("""COMPUTED_VALUE"""),"LAKI-LAKI")</f>
        <v>LAKI-LAKI</v>
      </c>
      <c r="K1430" s="6"/>
      <c r="R1430" s="7" t="str">
        <f>IFERROR(__xludf.DUMMYFUNCTION("""COMPUTED_VALUE"""),"K")</f>
        <v>K</v>
      </c>
    </row>
    <row r="1431" ht="22.5" customHeight="1">
      <c r="A1431" s="6">
        <v>1430.0</v>
      </c>
      <c r="B1431" s="6" t="str">
        <f>IFERROR(__xludf.DUMMYFUNCTION("""COMPUTED_VALUE"""),"Service Sepeda Motor Injeksi")</f>
        <v>Service Sepeda Motor Injeksi</v>
      </c>
      <c r="F1431" s="6" t="str">
        <f>IFERROR(__xludf.DUMMYFUNCTION("""COMPUTED_VALUE"""),"ALIF")</f>
        <v>ALIF</v>
      </c>
      <c r="G1431" s="6" t="str">
        <f>IFERROR(__xludf.DUMMYFUNCTION("""COMPUTED_VALUE"""),"2171062703079000 ")</f>
        <v>2171062703079000 </v>
      </c>
      <c r="J1431" s="7" t="str">
        <f>IFERROR(__xludf.DUMMYFUNCTION("""COMPUTED_VALUE"""),"LAKI-LAKI")</f>
        <v>LAKI-LAKI</v>
      </c>
      <c r="K1431" s="6"/>
      <c r="R1431" s="7" t="str">
        <f>IFERROR(__xludf.DUMMYFUNCTION("""COMPUTED_VALUE"""),"K")</f>
        <v>K</v>
      </c>
    </row>
    <row r="1432" ht="22.5" customHeight="1">
      <c r="A1432" s="6">
        <v>1431.0</v>
      </c>
      <c r="B1432" s="6" t="str">
        <f>IFERROR(__xludf.DUMMYFUNCTION("""COMPUTED_VALUE"""),"Service Sepeda Motor Injeksi")</f>
        <v>Service Sepeda Motor Injeksi</v>
      </c>
      <c r="F1432" s="6" t="str">
        <f>IFERROR(__xludf.DUMMYFUNCTION("""COMPUTED_VALUE"""),"ARIL DASMI")</f>
        <v>ARIL DASMI</v>
      </c>
      <c r="G1432" s="6" t="str">
        <f>IFERROR(__xludf.DUMMYFUNCTION("""COMPUTED_VALUE"""),"7404111308080000 ")</f>
        <v>7404111308080000 </v>
      </c>
      <c r="J1432" s="7" t="str">
        <f>IFERROR(__xludf.DUMMYFUNCTION("""COMPUTED_VALUE"""),"LAKI-LAKI")</f>
        <v>LAKI-LAKI</v>
      </c>
      <c r="K1432" s="6"/>
      <c r="R1432" s="7" t="str">
        <f>IFERROR(__xludf.DUMMYFUNCTION("""COMPUTED_VALUE"""),"BK")</f>
        <v>BK</v>
      </c>
    </row>
    <row r="1433" ht="22.5" customHeight="1">
      <c r="A1433" s="6">
        <v>1432.0</v>
      </c>
      <c r="B1433" s="6" t="str">
        <f>IFERROR(__xludf.DUMMYFUNCTION("""COMPUTED_VALUE"""),"Service Sepeda Motor Injeksi")</f>
        <v>Service Sepeda Motor Injeksi</v>
      </c>
      <c r="F1433" s="6" t="str">
        <f>IFERROR(__xludf.DUMMYFUNCTION("""COMPUTED_VALUE"""),"LA AFRIL ADE PRATAMA")</f>
        <v>LA AFRIL ADE PRATAMA</v>
      </c>
      <c r="G1433" s="6" t="str">
        <f>IFERROR(__xludf.DUMMYFUNCTION("""COMPUTED_VALUE"""),"7404111001080000 ")</f>
        <v>7404111001080000 </v>
      </c>
      <c r="J1433" s="7" t="str">
        <f>IFERROR(__xludf.DUMMYFUNCTION("""COMPUTED_VALUE"""),"LAKI-LAKI")</f>
        <v>LAKI-LAKI</v>
      </c>
      <c r="K1433" s="6"/>
      <c r="R1433" s="7" t="str">
        <f>IFERROR(__xludf.DUMMYFUNCTION("""COMPUTED_VALUE"""),"BK")</f>
        <v>BK</v>
      </c>
    </row>
    <row r="1434" ht="22.5" customHeight="1">
      <c r="A1434" s="6">
        <v>1433.0</v>
      </c>
      <c r="B1434" s="6" t="str">
        <f>IFERROR(__xludf.DUMMYFUNCTION("""COMPUTED_VALUE"""),"Produktivitas Jenjang 5")</f>
        <v>Produktivitas Jenjang 5</v>
      </c>
      <c r="F1434" s="6" t="str">
        <f>IFERROR(__xludf.DUMMYFUNCTION("""COMPUTED_VALUE"""),"LA ODE AGUS FADLELILLAH")</f>
        <v>LA ODE AGUS FADLELILLAH</v>
      </c>
      <c r="G1434" s="6" t="str">
        <f>IFERROR(__xludf.DUMMYFUNCTION("""COMPUTED_VALUE"""),"7404111702050000 ")</f>
        <v>7404111702050000 </v>
      </c>
      <c r="J1434" s="7" t="str">
        <f>IFERROR(__xludf.DUMMYFUNCTION("""COMPUTED_VALUE"""),"LAKI-LAKI")</f>
        <v>LAKI-LAKI</v>
      </c>
      <c r="K1434" s="6"/>
      <c r="R1434" s="7" t="str">
        <f>IFERROR(__xludf.DUMMYFUNCTION("""COMPUTED_VALUE"""),"K")</f>
        <v>K</v>
      </c>
    </row>
    <row r="1435" ht="22.5" customHeight="1">
      <c r="A1435" s="6">
        <v>1434.0</v>
      </c>
      <c r="B1435" s="6" t="str">
        <f>IFERROR(__xludf.DUMMYFUNCTION("""COMPUTED_VALUE"""),"Produktivitas Jenjang 5")</f>
        <v>Produktivitas Jenjang 5</v>
      </c>
      <c r="F1435" s="6" t="str">
        <f>IFERROR(__xludf.DUMMYFUNCTION("""COMPUTED_VALUE"""),"FATUR HIDAYAT")</f>
        <v>FATUR HIDAYAT</v>
      </c>
      <c r="G1435" s="6" t="str">
        <f>IFERROR(__xludf.DUMMYFUNCTION("""COMPUTED_VALUE"""),"7404240311060000")</f>
        <v>7404240311060000</v>
      </c>
      <c r="J1435" s="7" t="str">
        <f>IFERROR(__xludf.DUMMYFUNCTION("""COMPUTED_VALUE"""),"LAKI-LAKI")</f>
        <v>LAKI-LAKI</v>
      </c>
      <c r="K1435" s="6"/>
      <c r="R1435" s="7" t="str">
        <f>IFERROR(__xludf.DUMMYFUNCTION("""COMPUTED_VALUE"""),"K")</f>
        <v>K</v>
      </c>
    </row>
    <row r="1436" ht="22.5" customHeight="1">
      <c r="A1436" s="6">
        <v>1435.0</v>
      </c>
      <c r="B1436" s="6" t="str">
        <f>IFERROR(__xludf.DUMMYFUNCTION("""COMPUTED_VALUE"""),"Produktivitas Jenjang 5")</f>
        <v>Produktivitas Jenjang 5</v>
      </c>
      <c r="F1436" s="6" t="str">
        <f>IFERROR(__xludf.DUMMYFUNCTION("""COMPUTED_VALUE"""),"SARCE RUTH LEIHITU")</f>
        <v>SARCE RUTH LEIHITU</v>
      </c>
      <c r="G1436" s="6" t="str">
        <f>IFERROR(__xludf.DUMMYFUNCTION("""COMPUTED_VALUE"""),"9271016007800007")</f>
        <v>9271016007800007</v>
      </c>
      <c r="J1436" s="7" t="str">
        <f>IFERROR(__xludf.DUMMYFUNCTION("""COMPUTED_VALUE"""),"PEREMPUAN")</f>
        <v>PEREMPUAN</v>
      </c>
      <c r="K1436" s="6" t="str">
        <f>IFERROR(__xludf.DUMMYFUNCTION("""COMPUTED_VALUE"""),"JL G ISUSU KLASUUR KITA SORONGP")</f>
        <v>JL G ISUSU KLASUUR KITA SORONGP</v>
      </c>
      <c r="R1436" s="7" t="str">
        <f>IFERROR(__xludf.DUMMYFUNCTION("""COMPUTED_VALUE"""),"K")</f>
        <v>K</v>
      </c>
    </row>
    <row r="1437" ht="22.5" customHeight="1">
      <c r="A1437" s="6">
        <v>1436.0</v>
      </c>
      <c r="B1437" s="6" t="str">
        <f>IFERROR(__xludf.DUMMYFUNCTION("""COMPUTED_VALUE"""),"Produktivitas Jenjang 5")</f>
        <v>Produktivitas Jenjang 5</v>
      </c>
      <c r="F1437" s="6" t="str">
        <f>IFERROR(__xludf.DUMMYFUNCTION("""COMPUTED_VALUE"""),"DYAN BAHARI KUSYONO")</f>
        <v>DYAN BAHARI KUSYONO</v>
      </c>
      <c r="G1437" s="6" t="str">
        <f>IFERROR(__xludf.DUMMYFUNCTION("""COMPUTED_VALUE"""),"9201073003950002")</f>
        <v>9201073003950002</v>
      </c>
      <c r="J1437" s="7" t="str">
        <f>IFERROR(__xludf.DUMMYFUNCTION("""COMPUTED_VALUE"""),"LAKI-LAKI")</f>
        <v>LAKI-LAKI</v>
      </c>
      <c r="K1437" s="6" t="str">
        <f>IFERROR(__xludf.DUMMYFUNCTION("""COMPUTED_VALUE"""),"JL MAKAM KPR GREEN SAMOLAN, RT005/RW005, KEL MALASOM, KEC AIMAS, SORONG PAPUA BARAT DAYA")</f>
        <v>JL MAKAM KPR GREEN SAMOLAN, RT005/RW005, KEL MALASOM, KEC AIMAS, SORONG PAPUA BARAT DAYA</v>
      </c>
      <c r="R1437" s="7" t="str">
        <f>IFERROR(__xludf.DUMMYFUNCTION("""COMPUTED_VALUE"""),"K")</f>
        <v>K</v>
      </c>
    </row>
    <row r="1438" ht="22.5" customHeight="1">
      <c r="A1438" s="6">
        <v>1437.0</v>
      </c>
      <c r="B1438" s="6" t="str">
        <f>IFERROR(__xludf.DUMMYFUNCTION("""COMPUTED_VALUE"""),"Produktivitas Jenjang 5")</f>
        <v>Produktivitas Jenjang 5</v>
      </c>
      <c r="F1438" s="6" t="str">
        <f>IFERROR(__xludf.DUMMYFUNCTION("""COMPUTED_VALUE"""),"ABDURAHMAN RUMATIGA ")</f>
        <v>ABDURAHMAN RUMATIGA </v>
      </c>
      <c r="G1438" s="6" t="str">
        <f>IFERROR(__xludf.DUMMYFUNCTION("""COMPUTED_VALUE"""),"9271011306740006")</f>
        <v>9271011306740006</v>
      </c>
      <c r="J1438" s="7" t="str">
        <f>IFERROR(__xludf.DUMMYFUNCTION("""COMPUTED_VALUE"""),"LAKI-LAKI")</f>
        <v>LAKI-LAKI</v>
      </c>
      <c r="K1438" s="6" t="str">
        <f>IFERROR(__xludf.DUMMYFUNCTION("""COMPUTED_VALUE"""),"JL. JEND. SUDIRMAN RT.004 RW 007 KEL.MALAWEI DISTRIK SORONG MANOI KOTA SORONG 08")</f>
        <v>JL. JEND. SUDIRMAN RT.004 RW 007 KEL.MALAWEI DISTRIK SORONG MANOI KOTA SORONG 08</v>
      </c>
      <c r="R1438" s="7" t="str">
        <f>IFERROR(__xludf.DUMMYFUNCTION("""COMPUTED_VALUE"""),"K")</f>
        <v>K</v>
      </c>
    </row>
    <row r="1439" ht="22.5" customHeight="1">
      <c r="A1439" s="6">
        <v>1438.0</v>
      </c>
      <c r="B1439" s="6" t="str">
        <f>IFERROR(__xludf.DUMMYFUNCTION("""COMPUTED_VALUE"""),"Produktivitas Jenjang 5")</f>
        <v>Produktivitas Jenjang 5</v>
      </c>
      <c r="F1439" s="6" t="str">
        <f>IFERROR(__xludf.DUMMYFUNCTION("""COMPUTED_VALUE"""),"MUH. IKRAM MURSALIM")</f>
        <v>MUH. IKRAM MURSALIM</v>
      </c>
      <c r="G1439" s="6" t="str">
        <f>IFERROR(__xludf.DUMMYFUNCTION("""COMPUTED_VALUE"""),"9271011505990003")</f>
        <v>9271011505990003</v>
      </c>
      <c r="J1439" s="7" t="str">
        <f>IFERROR(__xludf.DUMMYFUNCTION("""COMPUTED_VALUE"""),"LAKI-LAKI")</f>
        <v>LAKI-LAKI</v>
      </c>
      <c r="K1439" s="6" t="str">
        <f>IFERROR(__xludf.DUMMYFUNCTION("""COMPUTED_VALUE"""),"JL. JEND SUDIRMAN")</f>
        <v>JL. JEND SUDIRMAN</v>
      </c>
      <c r="R1439" s="7" t="str">
        <f>IFERROR(__xludf.DUMMYFUNCTION("""COMPUTED_VALUE"""),"K")</f>
        <v>K</v>
      </c>
    </row>
    <row r="1440" ht="22.5" customHeight="1">
      <c r="A1440" s="6">
        <v>1439.0</v>
      </c>
      <c r="B1440" s="6" t="str">
        <f>IFERROR(__xludf.DUMMYFUNCTION("""COMPUTED_VALUE"""),"Produktivitas Jenjang 5")</f>
        <v>Produktivitas Jenjang 5</v>
      </c>
      <c r="F1440" s="6" t="str">
        <f>IFERROR(__xludf.DUMMYFUNCTION("""COMPUTED_VALUE"""),"YACINCHA SELUSHIA LIEM")</f>
        <v>YACINCHA SELUSHIA LIEM</v>
      </c>
      <c r="G1440" s="6" t="str">
        <f>IFERROR(__xludf.DUMMYFUNCTION("""COMPUTED_VALUE"""),"9271026603900003")</f>
        <v>9271026603900003</v>
      </c>
      <c r="J1440" s="7" t="str">
        <f>IFERROR(__xludf.DUMMYFUNCTION("""COMPUTED_VALUE"""),"PEREMPUAN")</f>
        <v>PEREMPUAN</v>
      </c>
      <c r="K1440" s="6" t="str">
        <f>IFERROR(__xludf.DUMMYFUNCTION("""COMPUTED_VALUE"""),"JL RUMBERPON RT002 RW003 REMU SELATAN SORONG MANOI")</f>
        <v>JL RUMBERPON RT002 RW003 REMU SELATAN SORONG MANOI</v>
      </c>
      <c r="R1440" s="7" t="str">
        <f>IFERROR(__xludf.DUMMYFUNCTION("""COMPUTED_VALUE"""),"K")</f>
        <v>K</v>
      </c>
    </row>
    <row r="1441" ht="22.5" customHeight="1">
      <c r="A1441" s="6">
        <v>1440.0</v>
      </c>
      <c r="B1441" s="6" t="str">
        <f>IFERROR(__xludf.DUMMYFUNCTION("""COMPUTED_VALUE"""),"Produktivitas Jenjang 5")</f>
        <v>Produktivitas Jenjang 5</v>
      </c>
      <c r="F1441" s="6" t="str">
        <f>IFERROR(__xludf.DUMMYFUNCTION("""COMPUTED_VALUE"""),"BRYAN KESEK")</f>
        <v>BRYAN KESEK</v>
      </c>
      <c r="G1441" s="6" t="str">
        <f>IFERROR(__xludf.DUMMYFUNCTION("""COMPUTED_VALUE"""),"9271051009040001")</f>
        <v>9271051009040001</v>
      </c>
      <c r="J1441" s="7" t="str">
        <f>IFERROR(__xludf.DUMMYFUNCTION("""COMPUTED_VALUE"""),"LAKI-LAKI")</f>
        <v>LAKI-LAKI</v>
      </c>
      <c r="K1441" s="6" t="str">
        <f>IFERROR(__xludf.DUMMYFUNCTION("""COMPUTED_VALUE"""),"JL. MENARA DOA KM.17 RT 003 RW 004 KEL. KLABLIM KEC. KLAURUNG KOTA SORONG PAPUA BARAT DAYA")</f>
        <v>JL. MENARA DOA KM.17 RT 003 RW 004 KEL. KLABLIM KEC. KLAURUNG KOTA SORONG PAPUA BARAT DAYA</v>
      </c>
      <c r="R1441" s="7" t="str">
        <f>IFERROR(__xludf.DUMMYFUNCTION("""COMPUTED_VALUE"""),"K")</f>
        <v>K</v>
      </c>
    </row>
    <row r="1442" ht="22.5" customHeight="1">
      <c r="A1442" s="6">
        <v>1441.0</v>
      </c>
      <c r="B1442" s="6" t="str">
        <f>IFERROR(__xludf.DUMMYFUNCTION("""COMPUTED_VALUE"""),"Produktivitas Jenjang 5")</f>
        <v>Produktivitas Jenjang 5</v>
      </c>
      <c r="F1442" s="6" t="str">
        <f>IFERROR(__xludf.DUMMYFUNCTION("""COMPUTED_VALUE"""),"JESSY SYANA RACHEL AWAY")</f>
        <v>JESSY SYANA RACHEL AWAY</v>
      </c>
      <c r="G1442" s="6" t="str">
        <f>IFERROR(__xludf.DUMMYFUNCTION("""COMPUTED_VALUE"""),"9271056406050004")</f>
        <v>9271056406050004</v>
      </c>
      <c r="J1442" s="7" t="str">
        <f>IFERROR(__xludf.DUMMYFUNCTION("""COMPUTED_VALUE"""),"PEREMPUAN")</f>
        <v>PEREMPUAN</v>
      </c>
      <c r="K1442" s="6" t="str">
        <f>IFERROR(__xludf.DUMMYFUNCTION("""COMPUTED_VALUE"""),"JL. PATRIOT ")</f>
        <v>JL. PATRIOT </v>
      </c>
      <c r="R1442" s="7" t="str">
        <f>IFERROR(__xludf.DUMMYFUNCTION("""COMPUTED_VALUE"""),"K")</f>
        <v>K</v>
      </c>
    </row>
    <row r="1443" ht="22.5" customHeight="1">
      <c r="A1443" s="6">
        <v>1442.0</v>
      </c>
      <c r="B1443" s="6" t="str">
        <f>IFERROR(__xludf.DUMMYFUNCTION("""COMPUTED_VALUE"""),"Produktivitas Jenjang 5")</f>
        <v>Produktivitas Jenjang 5</v>
      </c>
      <c r="F1443" s="6" t="str">
        <f>IFERROR(__xludf.DUMMYFUNCTION("""COMPUTED_VALUE"""),"YOHANIS DANIEL BAKARBESSY ")</f>
        <v>YOHANIS DANIEL BAKARBESSY </v>
      </c>
      <c r="G1443" s="6" t="str">
        <f>IFERROR(__xludf.DUMMYFUNCTION("""COMPUTED_VALUE"""),"9271031509030005")</f>
        <v>9271031509030005</v>
      </c>
      <c r="J1443" s="7" t="str">
        <f>IFERROR(__xludf.DUMMYFUNCTION("""COMPUTED_VALUE"""),"LAKI-LAKI")</f>
        <v>LAKI-LAKI</v>
      </c>
      <c r="K1443" s="6" t="str">
        <f>IFERROR(__xludf.DUMMYFUNCTION("""COMPUTED_VALUE"""),"JL. P. KASIM")</f>
        <v>JL. P. KASIM</v>
      </c>
      <c r="R1443" s="7" t="str">
        <f>IFERROR(__xludf.DUMMYFUNCTION("""COMPUTED_VALUE"""),"K")</f>
        <v>K</v>
      </c>
    </row>
    <row r="1444" ht="22.5" customHeight="1">
      <c r="A1444" s="6">
        <v>1443.0</v>
      </c>
      <c r="B1444" s="6" t="str">
        <f>IFERROR(__xludf.DUMMYFUNCTION("""COMPUTED_VALUE"""),"Produktivitas Jenjang 5")</f>
        <v>Produktivitas Jenjang 5</v>
      </c>
      <c r="F1444" s="6" t="str">
        <f>IFERROR(__xludf.DUMMYFUNCTION("""COMPUTED_VALUE"""),"ESTHER YULIANA BENLAS")</f>
        <v>ESTHER YULIANA BENLAS</v>
      </c>
      <c r="G1444" s="6" t="str">
        <f>IFERROR(__xludf.DUMMYFUNCTION("""COMPUTED_VALUE"""),"9271055501970004")</f>
        <v>9271055501970004</v>
      </c>
      <c r="J1444" s="7" t="str">
        <f>IFERROR(__xludf.DUMMYFUNCTION("""COMPUTED_VALUE"""),"PEREMPUAN")</f>
        <v>PEREMPUAN</v>
      </c>
      <c r="K1444" s="6" t="str">
        <f>IFERROR(__xludf.DUMMYFUNCTION("""COMPUTED_VALUE"""),"JL. MALAGEDA ")</f>
        <v>JL. MALAGEDA </v>
      </c>
      <c r="R1444" s="7" t="str">
        <f>IFERROR(__xludf.DUMMYFUNCTION("""COMPUTED_VALUE"""),"K")</f>
        <v>K</v>
      </c>
    </row>
    <row r="1445" ht="22.5" customHeight="1">
      <c r="A1445" s="6">
        <v>1444.0</v>
      </c>
      <c r="B1445" s="6" t="str">
        <f>IFERROR(__xludf.DUMMYFUNCTION("""COMPUTED_VALUE"""),"Produktivitas Jenjang 5")</f>
        <v>Produktivitas Jenjang 5</v>
      </c>
      <c r="F1445" s="6" t="str">
        <f>IFERROR(__xludf.DUMMYFUNCTION("""COMPUTED_VALUE"""),"HERY HARYANTO ")</f>
        <v>HERY HARYANTO </v>
      </c>
      <c r="G1445" s="6" t="str">
        <f>IFERROR(__xludf.DUMMYFUNCTION("""COMPUTED_VALUE"""),"5205012001000003")</f>
        <v>5205012001000003</v>
      </c>
      <c r="J1445" s="7" t="str">
        <f>IFERROR(__xludf.DUMMYFUNCTION("""COMPUTED_VALUE"""),"LAKI-LAKI")</f>
        <v>LAKI-LAKI</v>
      </c>
      <c r="K1445" s="6" t="str">
        <f>IFERROR(__xludf.DUMMYFUNCTION("""COMPUTED_VALUE"""),"JL.SELAT MALAKA")</f>
        <v>JL.SELAT MALAKA</v>
      </c>
      <c r="R1445" s="7" t="str">
        <f>IFERROR(__xludf.DUMMYFUNCTION("""COMPUTED_VALUE"""),"BK")</f>
        <v>BK</v>
      </c>
    </row>
    <row r="1446" ht="22.5" customHeight="1">
      <c r="A1446" s="6">
        <v>1445.0</v>
      </c>
      <c r="B1446" s="6" t="str">
        <f>IFERROR(__xludf.DUMMYFUNCTION("""COMPUTED_VALUE"""),"Produktivitas Jenjang 5")</f>
        <v>Produktivitas Jenjang 5</v>
      </c>
      <c r="F1446" s="6" t="str">
        <f>IFERROR(__xludf.DUMMYFUNCTION("""COMPUTED_VALUE"""),"NOVYAN WATTIMENA S,SI")</f>
        <v>NOVYAN WATTIMENA S,SI</v>
      </c>
      <c r="G1446" s="6" t="str">
        <f>IFERROR(__xludf.DUMMYFUNCTION("""COMPUTED_VALUE"""),"8171020611850004")</f>
        <v>8171020611850004</v>
      </c>
      <c r="J1446" s="7" t="str">
        <f>IFERROR(__xludf.DUMMYFUNCTION("""COMPUTED_VALUE"""),"LAKI-LAKI")</f>
        <v>LAKI-LAKI</v>
      </c>
      <c r="K1446" s="6" t="str">
        <f>IFERROR(__xludf.DUMMYFUNCTION("""COMPUTED_VALUE"""),"JL. F. KALASUAT")</f>
        <v>JL. F. KALASUAT</v>
      </c>
      <c r="R1446" s="7" t="str">
        <f>IFERROR(__xludf.DUMMYFUNCTION("""COMPUTED_VALUE"""),"BK")</f>
        <v>BK</v>
      </c>
    </row>
    <row r="1447" ht="22.5" customHeight="1">
      <c r="A1447" s="6">
        <v>1446.0</v>
      </c>
      <c r="B1447" s="6" t="str">
        <f>IFERROR(__xludf.DUMMYFUNCTION("""COMPUTED_VALUE"""),"Produktivitas Jenjang 5")</f>
        <v>Produktivitas Jenjang 5</v>
      </c>
      <c r="F1447" s="6" t="str">
        <f>IFERROR(__xludf.DUMMYFUNCTION("""COMPUTED_VALUE"""),"AGUSTINA HERONIA WAIRISAL")</f>
        <v>AGUSTINA HERONIA WAIRISAL</v>
      </c>
      <c r="G1447" s="6" t="str">
        <f>IFERROR(__xludf.DUMMYFUNCTION("""COMPUTED_VALUE"""),"9271094112730001")</f>
        <v>9271094112730001</v>
      </c>
      <c r="J1447" s="7" t="str">
        <f>IFERROR(__xludf.DUMMYFUNCTION("""COMPUTED_VALUE"""),"PEREMPUAN")</f>
        <v>PEREMPUAN</v>
      </c>
      <c r="K1447" s="6" t="str">
        <f>IFERROR(__xludf.DUMMYFUNCTION("""COMPUTED_VALUE"""),"Jl. Kenanga, RT 002/RW 008, Kel. Klawalu, Kec. Sorong Timur, Kota Sorong")</f>
        <v>Jl. Kenanga, RT 002/RW 008, Kel. Klawalu, Kec. Sorong Timur, Kota Sorong</v>
      </c>
      <c r="R1447" s="7" t="str">
        <f>IFERROR(__xludf.DUMMYFUNCTION("""COMPUTED_VALUE"""),"BK")</f>
        <v>BK</v>
      </c>
    </row>
    <row r="1448" ht="22.5" customHeight="1">
      <c r="A1448" s="6">
        <v>1447.0</v>
      </c>
      <c r="B1448" s="6" t="str">
        <f>IFERROR(__xludf.DUMMYFUNCTION("""COMPUTED_VALUE"""),"Produktivitas Jenjang 5")</f>
        <v>Produktivitas Jenjang 5</v>
      </c>
      <c r="F1448" s="6" t="str">
        <f>IFERROR(__xludf.DUMMYFUNCTION("""COMPUTED_VALUE"""),"DANIEL NELSON TARASSENG")</f>
        <v>DANIEL NELSON TARASSENG</v>
      </c>
      <c r="G1448" s="6" t="str">
        <f>IFERROR(__xludf.DUMMYFUNCTION("""COMPUTED_VALUE"""),"9271021211050004")</f>
        <v>9271021211050004</v>
      </c>
      <c r="J1448" s="7" t="str">
        <f>IFERROR(__xludf.DUMMYFUNCTION("""COMPUTED_VALUE"""),"LAKI-LAKI")</f>
        <v>LAKI-LAKI</v>
      </c>
      <c r="K1448" s="6" t="str">
        <f>IFERROR(__xludf.DUMMYFUNCTION("""COMPUTED_VALUE"""),"Jl. Selat Obi BTN, RT 003/RW 001, Kel. Kladufu, Kec. Sorong Timur, Kota Sorong")</f>
        <v>Jl. Selat Obi BTN, RT 003/RW 001, Kel. Kladufu, Kec. Sorong Timur, Kota Sorong</v>
      </c>
      <c r="R1448" s="7" t="str">
        <f>IFERROR(__xludf.DUMMYFUNCTION("""COMPUTED_VALUE"""),"BK")</f>
        <v>BK</v>
      </c>
    </row>
    <row r="1449" ht="22.5" customHeight="1">
      <c r="A1449" s="6">
        <v>1448.0</v>
      </c>
      <c r="B1449" s="6" t="str">
        <f>IFERROR(__xludf.DUMMYFUNCTION("""COMPUTED_VALUE"""),"Produktivitas Jenjang 5")</f>
        <v>Produktivitas Jenjang 5</v>
      </c>
      <c r="F1449" s="6" t="str">
        <f>IFERROR(__xludf.DUMMYFUNCTION("""COMPUTED_VALUE"""),"DENI SETIAWAN")</f>
        <v>DENI SETIAWAN</v>
      </c>
      <c r="G1449" s="6" t="str">
        <f>IFERROR(__xludf.DUMMYFUNCTION("""COMPUTED_VALUE"""),"9271052312050004")</f>
        <v>9271052312050004</v>
      </c>
      <c r="J1449" s="7" t="str">
        <f>IFERROR(__xludf.DUMMYFUNCTION("""COMPUTED_VALUE"""),"LAKI-LAKI")</f>
        <v>LAKI-LAKI</v>
      </c>
      <c r="K1449" s="6" t="str">
        <f>IFERROR(__xludf.DUMMYFUNCTION("""COMPUTED_VALUE"""),"Jl. F. Kalasuat, RT 001/RW 002, Kel. Malanu, Kec. Sorong Utara, Kota Sorong")</f>
        <v>Jl. F. Kalasuat, RT 001/RW 002, Kel. Malanu, Kec. Sorong Utara, Kota Sorong</v>
      </c>
      <c r="R1449" s="7" t="str">
        <f>IFERROR(__xludf.DUMMYFUNCTION("""COMPUTED_VALUE"""),"BK")</f>
        <v>BK</v>
      </c>
    </row>
    <row r="1450" ht="22.5" customHeight="1">
      <c r="A1450" s="6">
        <v>1449.0</v>
      </c>
      <c r="B1450" s="6" t="str">
        <f>IFERROR(__xludf.DUMMYFUNCTION("""COMPUTED_VALUE"""),"Produktivitas Jenjang 5")</f>
        <v>Produktivitas Jenjang 5</v>
      </c>
      <c r="F1450" s="6" t="str">
        <f>IFERROR(__xludf.DUMMYFUNCTION("""COMPUTED_VALUE"""),"JASMAWATI")</f>
        <v>JASMAWATI</v>
      </c>
      <c r="G1450" s="6" t="str">
        <f>IFERROR(__xludf.DUMMYFUNCTION("""COMPUTED_VALUE"""),"9201136606860001")</f>
        <v>9201136606860001</v>
      </c>
      <c r="J1450" s="7" t="str">
        <f>IFERROR(__xludf.DUMMYFUNCTION("""COMPUTED_VALUE"""),"PEREMPUAN")</f>
        <v>PEREMPUAN</v>
      </c>
      <c r="K1450" s="6" t="str">
        <f>IFERROR(__xludf.DUMMYFUNCTION("""COMPUTED_VALUE"""),"Jl. A. Yani, RT 003/RW 005, Kel. Makbusun, Kec. Mayamuk, Kab. Sorong")</f>
        <v>Jl. A. Yani, RT 003/RW 005, Kel. Makbusun, Kec. Mayamuk, Kab. Sorong</v>
      </c>
      <c r="R1450" s="7" t="str">
        <f>IFERROR(__xludf.DUMMYFUNCTION("""COMPUTED_VALUE"""),"BK")</f>
        <v>BK</v>
      </c>
    </row>
    <row r="1451" ht="22.5" customHeight="1">
      <c r="A1451" s="6">
        <v>1450.0</v>
      </c>
      <c r="B1451" s="6" t="str">
        <f>IFERROR(__xludf.DUMMYFUNCTION("""COMPUTED_VALUE"""),"Produktivitas Jenjang 5")</f>
        <v>Produktivitas Jenjang 5</v>
      </c>
      <c r="F1451" s="6" t="str">
        <f>IFERROR(__xludf.DUMMYFUNCTION("""COMPUTED_VALUE"""),"JEHUDA RIVALDO RONSUMBRE")</f>
        <v>JEHUDA RIVALDO RONSUMBRE</v>
      </c>
      <c r="G1451" s="6" t="str">
        <f>IFERROR(__xludf.DUMMYFUNCTION("""COMPUTED_VALUE"""),"9271012606020005")</f>
        <v>9271012606020005</v>
      </c>
      <c r="J1451" s="7" t="str">
        <f>IFERROR(__xludf.DUMMYFUNCTION("""COMPUTED_VALUE"""),"LAKI-LAKI")</f>
        <v>LAKI-LAKI</v>
      </c>
      <c r="K1451" s="6" t="str">
        <f>IFERROR(__xludf.DUMMYFUNCTION("""COMPUTED_VALUE"""),"Jl. Sultan Hasanudin, RT 002/RW 003, Kel. Klaligi, Kec. Sorong Manoi, Kota Sorong")</f>
        <v>Jl. Sultan Hasanudin, RT 002/RW 003, Kel. Klaligi, Kec. Sorong Manoi, Kota Sorong</v>
      </c>
      <c r="R1451" s="7" t="str">
        <f>IFERROR(__xludf.DUMMYFUNCTION("""COMPUTED_VALUE"""),"BK")</f>
        <v>BK</v>
      </c>
    </row>
    <row r="1452" ht="22.5" customHeight="1">
      <c r="A1452" s="6">
        <v>1451.0</v>
      </c>
      <c r="B1452" s="6" t="str">
        <f>IFERROR(__xludf.DUMMYFUNCTION("""COMPUTED_VALUE"""),"Produktivitas Jenjang 5")</f>
        <v>Produktivitas Jenjang 5</v>
      </c>
      <c r="F1452" s="6" t="str">
        <f>IFERROR(__xludf.DUMMYFUNCTION("""COMPUTED_VALUE"""),"JIREH ADIEL RAWAR")</f>
        <v>JIREH ADIEL RAWAR</v>
      </c>
      <c r="G1452" s="6" t="str">
        <f>IFERROR(__xludf.DUMMYFUNCTION("""COMPUTED_VALUE"""),"9271010711020004")</f>
        <v>9271010711020004</v>
      </c>
      <c r="J1452" s="7" t="str">
        <f>IFERROR(__xludf.DUMMYFUNCTION("""COMPUTED_VALUE"""),"LAKI-LAKI")</f>
        <v>LAKI-LAKI</v>
      </c>
      <c r="K1452" s="6" t="str">
        <f>IFERROR(__xludf.DUMMYFUNCTION("""COMPUTED_VALUE"""),"Jl. Bukit Baru, RT 001/RW 001, Kel. Klakublik, Kec. Sorong Kota, Kota Sorong")</f>
        <v>Jl. Bukit Baru, RT 001/RW 001, Kel. Klakublik, Kec. Sorong Kota, Kota Sorong</v>
      </c>
      <c r="R1452" s="7" t="str">
        <f>IFERROR(__xludf.DUMMYFUNCTION("""COMPUTED_VALUE"""),"BK")</f>
        <v>BK</v>
      </c>
    </row>
    <row r="1453" ht="22.5" customHeight="1">
      <c r="A1453" s="6">
        <v>1452.0</v>
      </c>
      <c r="B1453" s="6" t="str">
        <f>IFERROR(__xludf.DUMMYFUNCTION("""COMPUTED_VALUE"""),"Produktivitas Jenjang 5")</f>
        <v>Produktivitas Jenjang 5</v>
      </c>
      <c r="F1453" s="6" t="str">
        <f>IFERROR(__xludf.DUMMYFUNCTION("""COMPUTED_VALUE"""),"LUKAS MOFU")</f>
        <v>LUKAS MOFU</v>
      </c>
      <c r="G1453" s="6" t="str">
        <f>IFERROR(__xludf.DUMMYFUNCTION("""COMPUTED_VALUE"""),"9271010711990004")</f>
        <v>9271010711990004</v>
      </c>
      <c r="J1453" s="7" t="str">
        <f>IFERROR(__xludf.DUMMYFUNCTION("""COMPUTED_VALUE"""),"LAKI-LAKI")</f>
        <v>LAKI-LAKI</v>
      </c>
      <c r="K1453" s="6" t="str">
        <f>IFERROR(__xludf.DUMMYFUNCTION("""COMPUTED_VALUE"""),"Jl. Sultan Hasanudin, RT 003/RW 003, Kel. Klaligi, Kec. Sorong Manoi, Kota Sorong")</f>
        <v>Jl. Sultan Hasanudin, RT 003/RW 003, Kel. Klaligi, Kec. Sorong Manoi, Kota Sorong</v>
      </c>
      <c r="R1453" s="7" t="str">
        <f>IFERROR(__xludf.DUMMYFUNCTION("""COMPUTED_VALUE"""),"BK")</f>
        <v>BK</v>
      </c>
    </row>
    <row r="1454" ht="22.5" customHeight="1">
      <c r="A1454" s="6">
        <v>1453.0</v>
      </c>
      <c r="B1454" s="6" t="str">
        <f>IFERROR(__xludf.DUMMYFUNCTION("""COMPUTED_VALUE"""),"Produktivitas Jenjang 5")</f>
        <v>Produktivitas Jenjang 5</v>
      </c>
      <c r="F1454" s="6" t="str">
        <f>IFERROR(__xludf.DUMMYFUNCTION("""COMPUTED_VALUE"""),"MAR AISA TAMALA")</f>
        <v>MAR AISA TAMALA</v>
      </c>
      <c r="G1454" s="6" t="str">
        <f>IFERROR(__xludf.DUMMYFUNCTION("""COMPUTED_VALUE"""),"9201136208060001")</f>
        <v>9201136208060001</v>
      </c>
      <c r="J1454" s="7" t="str">
        <f>IFERROR(__xludf.DUMMYFUNCTION("""COMPUTED_VALUE"""),"PEREMPUAN")</f>
        <v>PEREMPUAN</v>
      </c>
      <c r="K1454" s="6" t="str">
        <f>IFERROR(__xludf.DUMMYFUNCTION("""COMPUTED_VALUE"""),"Jl. Warmasen Km. 13 KPR Sakinah 2 Blok E No. 3, RT 004/RW 005, Kel. Klamana, Kec. Sorong Timur, Kota Sorong")</f>
        <v>Jl. Warmasen Km. 13 KPR Sakinah 2 Blok E No. 3, RT 004/RW 005, Kel. Klamana, Kec. Sorong Timur, Kota Sorong</v>
      </c>
      <c r="R1454" s="7" t="str">
        <f>IFERROR(__xludf.DUMMYFUNCTION("""COMPUTED_VALUE"""),"BK")</f>
        <v>BK</v>
      </c>
    </row>
    <row r="1455" ht="22.5" customHeight="1">
      <c r="A1455" s="6">
        <v>1454.0</v>
      </c>
      <c r="B1455" s="6" t="str">
        <f>IFERROR(__xludf.DUMMYFUNCTION("""COMPUTED_VALUE"""),"Produktivitas Jenjang 5")</f>
        <v>Produktivitas Jenjang 5</v>
      </c>
      <c r="F1455" s="6" t="str">
        <f>IFERROR(__xludf.DUMMYFUNCTION("""COMPUTED_VALUE"""),"MELNIS KARTONO UNMEHOPA")</f>
        <v>MELNIS KARTONO UNMEHOPA</v>
      </c>
      <c r="G1455" s="6" t="str">
        <f>IFERROR(__xludf.DUMMYFUNCTION("""COMPUTED_VALUE"""),"8171012104930001")</f>
        <v>8171012104930001</v>
      </c>
      <c r="J1455" s="7" t="str">
        <f>IFERROR(__xludf.DUMMYFUNCTION("""COMPUTED_VALUE"""),"LAKI-LAKI")</f>
        <v>LAKI-LAKI</v>
      </c>
      <c r="K1455" s="6" t="str">
        <f>IFERROR(__xludf.DUMMYFUNCTION("""COMPUTED_VALUE"""),"KPR Handayani Blok A/13 Km 10, RT 004/RW 001, Kel. Sawagumu, Kec. Sorong Utara, Kota Sorong")</f>
        <v>KPR Handayani Blok A/13 Km 10, RT 004/RW 001, Kel. Sawagumu, Kec. Sorong Utara, Kota Sorong</v>
      </c>
      <c r="R1455" s="7" t="str">
        <f>IFERROR(__xludf.DUMMYFUNCTION("""COMPUTED_VALUE"""),"BK")</f>
        <v>BK</v>
      </c>
    </row>
    <row r="1456" ht="22.5" customHeight="1">
      <c r="A1456" s="6">
        <v>1455.0</v>
      </c>
      <c r="B1456" s="6" t="str">
        <f>IFERROR(__xludf.DUMMYFUNCTION("""COMPUTED_VALUE"""),"Produktivitas Jenjang 5")</f>
        <v>Produktivitas Jenjang 5</v>
      </c>
      <c r="F1456" s="6" t="str">
        <f>IFERROR(__xludf.DUMMYFUNCTION("""COMPUTED_VALUE"""),"MUHAMAD Z. JAILANI R.")</f>
        <v>MUHAMAD Z. JAILANI R.</v>
      </c>
      <c r="G1456" s="6" t="str">
        <f>IFERROR(__xludf.DUMMYFUNCTION("""COMPUTED_VALUE"""),"9202011511050001")</f>
        <v>9202011511050001</v>
      </c>
      <c r="J1456" s="7" t="str">
        <f>IFERROR(__xludf.DUMMYFUNCTION("""COMPUTED_VALUE"""),"LAKI-LAKI")</f>
        <v>LAKI-LAKI</v>
      </c>
      <c r="K1456" s="6" t="str">
        <f>IFERROR(__xludf.DUMMYFUNCTION("""COMPUTED_VALUE"""),"Jl. Warmasen, RT 004/RW 005, Kel. Klamana, Kec. Sorong Timur, Kota Sorong")</f>
        <v>Jl. Warmasen, RT 004/RW 005, Kel. Klamana, Kec. Sorong Timur, Kota Sorong</v>
      </c>
      <c r="R1456" s="7" t="str">
        <f>IFERROR(__xludf.DUMMYFUNCTION("""COMPUTED_VALUE"""),"BK")</f>
        <v>BK</v>
      </c>
    </row>
    <row r="1457" ht="22.5" customHeight="1">
      <c r="A1457" s="6">
        <v>1456.0</v>
      </c>
      <c r="B1457" s="6" t="str">
        <f>IFERROR(__xludf.DUMMYFUNCTION("""COMPUTED_VALUE"""),"Produktivitas Jenjang 5")</f>
        <v>Produktivitas Jenjang 5</v>
      </c>
      <c r="F1457" s="6" t="str">
        <f>IFERROR(__xludf.DUMMYFUNCTION("""COMPUTED_VALUE"""),"MUHAMMAD RADITTYA ALTAQIANNSYAH")</f>
        <v>MUHAMMAD RADITTYA ALTAQIANNSYAH</v>
      </c>
      <c r="G1457" s="6" t="str">
        <f>IFERROR(__xludf.DUMMYFUNCTION("""COMPUTED_VALUE"""),"9271052003040004")</f>
        <v>9271052003040004</v>
      </c>
      <c r="J1457" s="7" t="str">
        <f>IFERROR(__xludf.DUMMYFUNCTION("""COMPUTED_VALUE"""),"LAKI-LAKI")</f>
        <v>LAKI-LAKI</v>
      </c>
      <c r="K1457" s="6" t="str">
        <f>IFERROR(__xludf.DUMMYFUNCTION("""COMPUTED_VALUE"""),"Jl. Pendidikan No. 45 GG. 2B, RT 002/RW 006, Kel. Klabulu, Malaimsimsa, Kota Sorong")</f>
        <v>Jl. Pendidikan No. 45 GG. 2B, RT 002/RW 006, Kel. Klabulu, Malaimsimsa, Kota Sorong</v>
      </c>
      <c r="R1457" s="7" t="str">
        <f>IFERROR(__xludf.DUMMYFUNCTION("""COMPUTED_VALUE"""),"BK")</f>
        <v>BK</v>
      </c>
    </row>
    <row r="1458" ht="22.5" customHeight="1">
      <c r="A1458" s="6">
        <v>1457.0</v>
      </c>
      <c r="B1458" s="6" t="str">
        <f>IFERROR(__xludf.DUMMYFUNCTION("""COMPUTED_VALUE"""),"Produktivitas Jenjang 5")</f>
        <v>Produktivitas Jenjang 5</v>
      </c>
      <c r="F1458" s="6" t="str">
        <f>IFERROR(__xludf.DUMMYFUNCTION("""COMPUTED_VALUE"""),"OKTOFIANUS KOTALAHA")</f>
        <v>OKTOFIANUS KOTALAHA</v>
      </c>
      <c r="G1458" s="6" t="str">
        <f>IFERROR(__xludf.DUMMYFUNCTION("""COMPUTED_VALUE"""),"9271030810830004")</f>
        <v>9271030810830004</v>
      </c>
      <c r="J1458" s="7" t="str">
        <f>IFERROR(__xludf.DUMMYFUNCTION("""COMPUTED_VALUE"""),"LAKI-LAKI")</f>
        <v>LAKI-LAKI</v>
      </c>
      <c r="K1458" s="6" t="str">
        <f>IFERROR(__xludf.DUMMYFUNCTION("""COMPUTED_VALUE"""),"Jl. Soka, RT 002/RW 001, Kel. Warmon, Kec. Aimas, Kab. Sorong")</f>
        <v>Jl. Soka, RT 002/RW 001, Kel. Warmon, Kec. Aimas, Kab. Sorong</v>
      </c>
      <c r="R1458" s="7" t="str">
        <f>IFERROR(__xludf.DUMMYFUNCTION("""COMPUTED_VALUE"""),"BK")</f>
        <v>BK</v>
      </c>
    </row>
    <row r="1459" ht="22.5" customHeight="1">
      <c r="A1459" s="6">
        <v>1458.0</v>
      </c>
      <c r="B1459" s="6"/>
      <c r="F1459" s="6" t="str">
        <f>IFERROR(__xludf.DUMMYFUNCTION("""COMPUTED_VALUE"""),"PUTRA WAHYUDIN SARASA WAIROY, S.IP.")</f>
        <v>PUTRA WAHYUDIN SARASA WAIROY, S.IP.</v>
      </c>
      <c r="G1459" s="6" t="str">
        <f>IFERROR(__xludf.DUMMYFUNCTION("""COMPUTED_VALUE"""),"9271053005990001")</f>
        <v>9271053005990001</v>
      </c>
      <c r="J1459" s="7" t="str">
        <f>IFERROR(__xludf.DUMMYFUNCTION("""COMPUTED_VALUE"""),"LAKI-LAKI")</f>
        <v>LAKI-LAKI</v>
      </c>
      <c r="K1459" s="6" t="str">
        <f>IFERROR(__xludf.DUMMYFUNCTION("""COMPUTED_VALUE"""),"Jl. S. Mamberamo, RT 001/RW 002, Kel. Matalamagi, Kec. Sorong Utara, Kota Sorong")</f>
        <v>Jl. S. Mamberamo, RT 001/RW 002, Kel. Matalamagi, Kec. Sorong Utara, Kota Sorong</v>
      </c>
      <c r="R1459" s="7"/>
    </row>
    <row r="1460" ht="22.5" customHeight="1">
      <c r="A1460" s="6">
        <v>1459.0</v>
      </c>
      <c r="B1460" s="6"/>
      <c r="F1460" s="6" t="str">
        <f>IFERROR(__xludf.DUMMYFUNCTION("""COMPUTED_VALUE"""),"STENLY A PAA")</f>
        <v>STENLY A PAA</v>
      </c>
      <c r="G1460" s="6" t="str">
        <f>IFERROR(__xludf.DUMMYFUNCTION("""COMPUTED_VALUE"""),"9271032408020003")</f>
        <v>9271032408020003</v>
      </c>
      <c r="J1460" s="7" t="str">
        <f>IFERROR(__xludf.DUMMYFUNCTION("""COMPUTED_VALUE"""),"LAKI-LAKI")</f>
        <v>LAKI-LAKI</v>
      </c>
      <c r="K1460" s="6" t="str">
        <f>IFERROR(__xludf.DUMMYFUNCTION("""COMPUTED_VALUE"""),"Jl. K. Patimura, RT 001/RW 002, Kel. Suprau, Kec. Maladum Mes, Kota Sorong")</f>
        <v>Jl. K. Patimura, RT 001/RW 002, Kel. Suprau, Kec. Maladum Mes, Kota Sorong</v>
      </c>
      <c r="R1460" s="7"/>
    </row>
    <row r="1461" ht="22.5" customHeight="1">
      <c r="A1461" s="6">
        <v>1460.0</v>
      </c>
      <c r="B1461" s="6"/>
      <c r="F1461" s="6"/>
      <c r="G1461" s="6"/>
      <c r="J1461" s="7"/>
      <c r="K1461" s="6"/>
      <c r="R1461" s="7"/>
    </row>
    <row r="1462" ht="22.5" customHeight="1">
      <c r="A1462" s="6">
        <v>1461.0</v>
      </c>
      <c r="B1462" s="6"/>
      <c r="F1462" s="6"/>
      <c r="G1462" s="6"/>
      <c r="J1462" s="7"/>
      <c r="K1462" s="6"/>
      <c r="R1462" s="7"/>
    </row>
    <row r="1463" ht="22.5" customHeight="1">
      <c r="A1463" s="6">
        <v>1462.0</v>
      </c>
      <c r="B1463" s="6"/>
      <c r="F1463" s="6"/>
      <c r="G1463" s="6"/>
      <c r="J1463" s="7"/>
      <c r="K1463" s="6"/>
      <c r="R1463" s="7"/>
    </row>
    <row r="1464" ht="22.5" customHeight="1">
      <c r="A1464" s="6">
        <v>1463.0</v>
      </c>
      <c r="B1464" s="6"/>
      <c r="F1464" s="6"/>
      <c r="G1464" s="6"/>
      <c r="J1464" s="7"/>
      <c r="K1464" s="6"/>
      <c r="R1464" s="7"/>
    </row>
    <row r="1465" ht="22.5" customHeight="1">
      <c r="A1465" s="6">
        <v>1464.0</v>
      </c>
      <c r="B1465" s="6"/>
      <c r="F1465" s="6"/>
      <c r="G1465" s="6"/>
      <c r="J1465" s="7"/>
      <c r="K1465" s="6"/>
      <c r="R1465" s="7"/>
    </row>
    <row r="1466" ht="22.5" customHeight="1">
      <c r="A1466" s="6">
        <v>1465.0</v>
      </c>
      <c r="B1466" s="6"/>
      <c r="F1466" s="6"/>
      <c r="G1466" s="6"/>
      <c r="J1466" s="7"/>
      <c r="K1466" s="6"/>
      <c r="R1466" s="7"/>
    </row>
    <row r="1467" ht="22.5" customHeight="1">
      <c r="A1467" s="6">
        <v>1466.0</v>
      </c>
      <c r="B1467" s="6"/>
      <c r="F1467" s="6"/>
      <c r="G1467" s="6"/>
      <c r="J1467" s="7"/>
      <c r="K1467" s="6"/>
      <c r="R1467" s="7"/>
    </row>
    <row r="1468" ht="22.5" customHeight="1">
      <c r="A1468" s="6">
        <v>1467.0</v>
      </c>
      <c r="B1468" s="6"/>
      <c r="F1468" s="6"/>
      <c r="G1468" s="6"/>
      <c r="J1468" s="7"/>
      <c r="K1468" s="6"/>
      <c r="R1468" s="7"/>
    </row>
    <row r="1469" ht="22.5" customHeight="1">
      <c r="A1469" s="6">
        <v>1468.0</v>
      </c>
      <c r="B1469" s="6"/>
      <c r="F1469" s="6"/>
      <c r="G1469" s="6"/>
      <c r="J1469" s="7"/>
      <c r="K1469" s="6"/>
      <c r="R1469" s="7"/>
    </row>
    <row r="1470" ht="22.5" customHeight="1">
      <c r="A1470" s="6">
        <v>1469.0</v>
      </c>
      <c r="B1470" s="6"/>
      <c r="F1470" s="6"/>
      <c r="G1470" s="6"/>
      <c r="J1470" s="7"/>
      <c r="K1470" s="6"/>
      <c r="R1470" s="7"/>
    </row>
    <row r="1471" ht="22.5" customHeight="1">
      <c r="A1471" s="6">
        <v>1470.0</v>
      </c>
      <c r="B1471" s="6"/>
      <c r="F1471" s="6"/>
      <c r="G1471" s="6"/>
      <c r="J1471" s="7"/>
      <c r="K1471" s="6"/>
      <c r="R1471" s="7"/>
    </row>
    <row r="1472" ht="22.5" customHeight="1">
      <c r="A1472" s="6">
        <v>1471.0</v>
      </c>
      <c r="B1472" s="6"/>
      <c r="F1472" s="6"/>
      <c r="G1472" s="6"/>
      <c r="J1472" s="7"/>
      <c r="K1472" s="6"/>
      <c r="R1472" s="7"/>
    </row>
    <row r="1473" ht="22.5" customHeight="1">
      <c r="A1473" s="6">
        <v>1472.0</v>
      </c>
      <c r="B1473" s="6"/>
      <c r="F1473" s="6"/>
      <c r="G1473" s="6"/>
      <c r="J1473" s="7"/>
      <c r="K1473" s="6"/>
      <c r="R1473" s="7"/>
    </row>
    <row r="1474" ht="22.5" customHeight="1">
      <c r="A1474" s="6">
        <v>1473.0</v>
      </c>
      <c r="B1474" s="6"/>
      <c r="F1474" s="6"/>
      <c r="G1474" s="6"/>
      <c r="J1474" s="7"/>
      <c r="K1474" s="6"/>
      <c r="R1474" s="7"/>
    </row>
    <row r="1475" ht="22.5" customHeight="1">
      <c r="A1475" s="6">
        <v>1474.0</v>
      </c>
      <c r="B1475" s="6"/>
      <c r="F1475" s="6"/>
      <c r="G1475" s="6"/>
      <c r="J1475" s="7"/>
      <c r="K1475" s="6"/>
      <c r="R1475" s="7"/>
    </row>
    <row r="1476" ht="22.5" customHeight="1">
      <c r="A1476" s="6">
        <v>1475.0</v>
      </c>
      <c r="B1476" s="6"/>
      <c r="F1476" s="6"/>
      <c r="G1476" s="6"/>
      <c r="J1476" s="7"/>
      <c r="K1476" s="6"/>
      <c r="R1476" s="7"/>
    </row>
    <row r="1477" ht="22.5" customHeight="1">
      <c r="A1477" s="6">
        <v>1476.0</v>
      </c>
      <c r="B1477" s="6"/>
      <c r="F1477" s="6"/>
      <c r="G1477" s="6"/>
      <c r="J1477" s="7"/>
      <c r="K1477" s="6"/>
      <c r="R1477" s="7"/>
    </row>
    <row r="1478" ht="22.5" customHeight="1">
      <c r="A1478" s="6">
        <v>1477.0</v>
      </c>
      <c r="B1478" s="6"/>
      <c r="F1478" s="6"/>
      <c r="G1478" s="6"/>
      <c r="J1478" s="7"/>
      <c r="K1478" s="6"/>
      <c r="R1478" s="7"/>
    </row>
    <row r="1479" ht="22.5" customHeight="1">
      <c r="A1479" s="6">
        <v>1478.0</v>
      </c>
      <c r="B1479" s="6"/>
      <c r="F1479" s="6"/>
      <c r="G1479" s="6"/>
      <c r="J1479" s="7"/>
      <c r="K1479" s="6"/>
      <c r="R1479" s="7"/>
    </row>
    <row r="1480" ht="22.5" customHeight="1">
      <c r="A1480" s="6">
        <v>1479.0</v>
      </c>
      <c r="B1480" s="6"/>
      <c r="F1480" s="6"/>
      <c r="G1480" s="6"/>
      <c r="J1480" s="7"/>
      <c r="K1480" s="6"/>
      <c r="R1480" s="7"/>
    </row>
    <row r="1481" ht="22.5" customHeight="1">
      <c r="A1481" s="6">
        <v>1480.0</v>
      </c>
      <c r="B1481" s="6"/>
      <c r="F1481" s="6"/>
      <c r="G1481" s="6"/>
      <c r="J1481" s="7"/>
      <c r="K1481" s="6"/>
      <c r="R1481" s="7"/>
    </row>
    <row r="1482" ht="22.5" customHeight="1">
      <c r="A1482" s="6">
        <v>1481.0</v>
      </c>
      <c r="B1482" s="6"/>
      <c r="F1482" s="6"/>
      <c r="G1482" s="6"/>
      <c r="J1482" s="7"/>
      <c r="K1482" s="6"/>
      <c r="R1482" s="7"/>
    </row>
    <row r="1483" ht="22.5" customHeight="1">
      <c r="A1483" s="6">
        <v>1482.0</v>
      </c>
      <c r="B1483" s="6"/>
      <c r="F1483" s="6"/>
      <c r="G1483" s="6"/>
      <c r="J1483" s="7"/>
      <c r="K1483" s="6"/>
      <c r="R1483" s="7"/>
    </row>
    <row r="1484" ht="22.5" customHeight="1">
      <c r="A1484" s="6">
        <v>1483.0</v>
      </c>
      <c r="B1484" s="6"/>
      <c r="F1484" s="6"/>
      <c r="G1484" s="6"/>
      <c r="J1484" s="7"/>
      <c r="K1484" s="6"/>
      <c r="R1484" s="7"/>
    </row>
    <row r="1485" ht="22.5" customHeight="1">
      <c r="A1485" s="6">
        <v>1484.0</v>
      </c>
      <c r="B1485" s="6"/>
      <c r="F1485" s="6"/>
      <c r="G1485" s="6"/>
      <c r="J1485" s="7"/>
      <c r="K1485" s="6"/>
      <c r="R1485" s="7"/>
    </row>
    <row r="1486" ht="22.5" customHeight="1">
      <c r="A1486" s="6">
        <v>1485.0</v>
      </c>
      <c r="B1486" s="6"/>
      <c r="F1486" s="6"/>
      <c r="G1486" s="6"/>
      <c r="J1486" s="7"/>
      <c r="K1486" s="6"/>
      <c r="R1486" s="7"/>
    </row>
    <row r="1487" ht="22.5" customHeight="1">
      <c r="A1487" s="6">
        <v>1486.0</v>
      </c>
      <c r="B1487" s="6"/>
      <c r="F1487" s="6"/>
      <c r="G1487" s="6"/>
      <c r="J1487" s="7"/>
      <c r="K1487" s="6"/>
      <c r="R1487" s="7"/>
    </row>
    <row r="1488" ht="22.5" customHeight="1">
      <c r="A1488" s="6">
        <v>1487.0</v>
      </c>
      <c r="B1488" s="6"/>
      <c r="F1488" s="6"/>
      <c r="G1488" s="6"/>
      <c r="J1488" s="7"/>
      <c r="K1488" s="6"/>
      <c r="R1488" s="7"/>
    </row>
    <row r="1489" ht="22.5" customHeight="1">
      <c r="A1489" s="6">
        <v>1488.0</v>
      </c>
      <c r="B1489" s="6"/>
      <c r="F1489" s="6"/>
      <c r="G1489" s="6"/>
      <c r="J1489" s="7"/>
      <c r="K1489" s="6"/>
      <c r="R1489" s="7"/>
    </row>
    <row r="1490" ht="22.5" customHeight="1">
      <c r="A1490" s="6">
        <v>1489.0</v>
      </c>
      <c r="B1490" s="6"/>
      <c r="F1490" s="6"/>
      <c r="G1490" s="6"/>
      <c r="J1490" s="7"/>
      <c r="K1490" s="6"/>
      <c r="R1490" s="7"/>
    </row>
    <row r="1491" ht="22.5" customHeight="1">
      <c r="A1491" s="6">
        <v>1490.0</v>
      </c>
      <c r="B1491" s="6"/>
      <c r="F1491" s="6"/>
      <c r="G1491" s="6"/>
      <c r="J1491" s="7"/>
      <c r="K1491" s="6"/>
      <c r="R1491" s="7"/>
    </row>
    <row r="1492" ht="22.5" customHeight="1">
      <c r="A1492" s="6">
        <v>1491.0</v>
      </c>
      <c r="B1492" s="6"/>
      <c r="F1492" s="6"/>
      <c r="G1492" s="6"/>
      <c r="J1492" s="7"/>
      <c r="K1492" s="6"/>
      <c r="R1492" s="7"/>
    </row>
    <row r="1493" ht="22.5" customHeight="1">
      <c r="A1493" s="6">
        <v>1492.0</v>
      </c>
      <c r="B1493" s="6"/>
      <c r="F1493" s="6"/>
      <c r="G1493" s="6"/>
      <c r="J1493" s="7"/>
      <c r="K1493" s="6"/>
      <c r="R1493" s="7"/>
    </row>
    <row r="1494" ht="22.5" customHeight="1">
      <c r="A1494" s="6">
        <v>1493.0</v>
      </c>
      <c r="B1494" s="6"/>
      <c r="F1494" s="6"/>
      <c r="G1494" s="6"/>
      <c r="J1494" s="7"/>
      <c r="K1494" s="6"/>
      <c r="R1494" s="7"/>
    </row>
    <row r="1495" ht="22.5" customHeight="1">
      <c r="A1495" s="6">
        <v>1494.0</v>
      </c>
      <c r="B1495" s="6"/>
      <c r="F1495" s="6"/>
      <c r="G1495" s="6"/>
      <c r="J1495" s="7"/>
      <c r="K1495" s="6"/>
      <c r="R1495" s="7"/>
    </row>
    <row r="1496" ht="22.5" customHeight="1">
      <c r="A1496" s="6">
        <v>1495.0</v>
      </c>
      <c r="B1496" s="6"/>
      <c r="F1496" s="6"/>
      <c r="G1496" s="6"/>
      <c r="J1496" s="7"/>
      <c r="K1496" s="6"/>
      <c r="R1496" s="7"/>
    </row>
    <row r="1497" ht="22.5" customHeight="1">
      <c r="A1497" s="6">
        <v>1496.0</v>
      </c>
      <c r="B1497" s="6"/>
      <c r="F1497" s="6"/>
      <c r="G1497" s="6"/>
      <c r="J1497" s="7"/>
      <c r="K1497" s="6"/>
      <c r="R1497" s="7"/>
    </row>
    <row r="1498" ht="22.5" customHeight="1">
      <c r="A1498" s="6">
        <v>1497.0</v>
      </c>
      <c r="B1498" s="6"/>
      <c r="F1498" s="6"/>
      <c r="G1498" s="6"/>
      <c r="J1498" s="7"/>
      <c r="K1498" s="6"/>
      <c r="R1498" s="7"/>
    </row>
    <row r="1499" ht="22.5" customHeight="1">
      <c r="A1499" s="6">
        <v>1498.0</v>
      </c>
      <c r="B1499" s="6"/>
      <c r="F1499" s="6"/>
      <c r="G1499" s="6"/>
      <c r="J1499" s="7"/>
      <c r="K1499" s="6"/>
      <c r="R1499" s="7"/>
    </row>
    <row r="1500" ht="22.5" customHeight="1">
      <c r="A1500" s="6">
        <v>1499.0</v>
      </c>
      <c r="B1500" s="6"/>
      <c r="F1500" s="6"/>
      <c r="G1500" s="6"/>
      <c r="J1500" s="7"/>
      <c r="K1500" s="6"/>
      <c r="R1500" s="7"/>
    </row>
    <row r="1501" ht="22.5" customHeight="1">
      <c r="A1501" s="6">
        <v>1500.0</v>
      </c>
      <c r="B1501" s="6"/>
      <c r="F1501" s="6"/>
      <c r="G1501" s="6"/>
      <c r="J1501" s="7"/>
      <c r="K1501" s="6"/>
      <c r="R1501" s="7"/>
    </row>
    <row r="1502" ht="22.5" customHeight="1">
      <c r="A1502" s="6">
        <v>1501.0</v>
      </c>
      <c r="B1502" s="6"/>
      <c r="F1502" s="6"/>
      <c r="G1502" s="6"/>
      <c r="J1502" s="7"/>
      <c r="K1502" s="6"/>
      <c r="R1502" s="7"/>
    </row>
    <row r="1503" ht="22.5" customHeight="1">
      <c r="A1503" s="6">
        <v>1502.0</v>
      </c>
      <c r="B1503" s="6"/>
      <c r="F1503" s="6"/>
      <c r="G1503" s="6"/>
      <c r="J1503" s="7"/>
      <c r="K1503" s="6"/>
      <c r="R1503" s="7"/>
    </row>
    <row r="1504" ht="22.5" customHeight="1">
      <c r="A1504" s="6">
        <v>1503.0</v>
      </c>
      <c r="B1504" s="6"/>
      <c r="F1504" s="6"/>
      <c r="G1504" s="6"/>
      <c r="J1504" s="7"/>
      <c r="K1504" s="6"/>
      <c r="R1504" s="7"/>
    </row>
    <row r="1505" ht="22.5" customHeight="1">
      <c r="A1505" s="6">
        <v>1504.0</v>
      </c>
      <c r="B1505" s="6"/>
      <c r="F1505" s="6"/>
      <c r="G1505" s="6"/>
      <c r="J1505" s="7"/>
      <c r="K1505" s="6"/>
      <c r="R1505" s="7"/>
    </row>
    <row r="1506" ht="22.5" customHeight="1">
      <c r="A1506" s="6">
        <v>1505.0</v>
      </c>
      <c r="B1506" s="6"/>
      <c r="F1506" s="6"/>
      <c r="G1506" s="6"/>
      <c r="J1506" s="7"/>
      <c r="K1506" s="6"/>
      <c r="R1506" s="7"/>
    </row>
    <row r="1507" ht="22.5" customHeight="1">
      <c r="A1507" s="6">
        <v>1506.0</v>
      </c>
      <c r="B1507" s="6"/>
      <c r="F1507" s="6"/>
      <c r="G1507" s="6"/>
      <c r="J1507" s="7"/>
      <c r="K1507" s="6"/>
      <c r="R1507" s="7"/>
    </row>
    <row r="1508" ht="22.5" customHeight="1">
      <c r="A1508" s="6">
        <v>1507.0</v>
      </c>
      <c r="B1508" s="6"/>
      <c r="F1508" s="6"/>
      <c r="G1508" s="6"/>
      <c r="J1508" s="7"/>
      <c r="K1508" s="6"/>
      <c r="R1508" s="7"/>
    </row>
    <row r="1509" ht="22.5" customHeight="1">
      <c r="A1509" s="6">
        <v>1508.0</v>
      </c>
      <c r="B1509" s="6"/>
      <c r="F1509" s="6"/>
      <c r="G1509" s="6"/>
      <c r="J1509" s="7"/>
      <c r="K1509" s="6"/>
      <c r="R1509" s="7"/>
    </row>
    <row r="1510" ht="22.5" customHeight="1">
      <c r="A1510" s="6">
        <v>1509.0</v>
      </c>
      <c r="B1510" s="6"/>
      <c r="F1510" s="6"/>
      <c r="G1510" s="6"/>
      <c r="J1510" s="7"/>
      <c r="K1510" s="6"/>
      <c r="R1510" s="7"/>
    </row>
    <row r="1511" ht="22.5" customHeight="1">
      <c r="A1511" s="6">
        <v>1510.0</v>
      </c>
      <c r="B1511" s="6"/>
      <c r="F1511" s="6"/>
      <c r="G1511" s="6"/>
      <c r="J1511" s="7"/>
      <c r="K1511" s="6"/>
      <c r="R1511" s="7"/>
    </row>
    <row r="1512" ht="22.5" customHeight="1">
      <c r="A1512" s="6">
        <v>1511.0</v>
      </c>
      <c r="B1512" s="6"/>
      <c r="F1512" s="6"/>
      <c r="G1512" s="6"/>
      <c r="J1512" s="7"/>
      <c r="K1512" s="6"/>
      <c r="R1512" s="7"/>
    </row>
    <row r="1513" ht="22.5" customHeight="1">
      <c r="A1513" s="6">
        <v>1512.0</v>
      </c>
      <c r="B1513" s="6"/>
      <c r="F1513" s="6"/>
      <c r="G1513" s="6"/>
      <c r="J1513" s="7"/>
      <c r="K1513" s="6"/>
      <c r="R1513" s="7"/>
    </row>
    <row r="1514" ht="22.5" customHeight="1">
      <c r="A1514" s="6">
        <v>1513.0</v>
      </c>
      <c r="B1514" s="6"/>
      <c r="F1514" s="6"/>
      <c r="G1514" s="6"/>
      <c r="J1514" s="7"/>
      <c r="K1514" s="6"/>
      <c r="R1514" s="7"/>
    </row>
    <row r="1515" ht="22.5" customHeight="1">
      <c r="A1515" s="6">
        <v>1514.0</v>
      </c>
      <c r="B1515" s="6"/>
      <c r="F1515" s="6"/>
      <c r="G1515" s="6"/>
      <c r="J1515" s="7"/>
      <c r="K1515" s="6"/>
      <c r="R1515" s="7"/>
    </row>
    <row r="1516" ht="22.5" customHeight="1">
      <c r="A1516" s="6">
        <v>1515.0</v>
      </c>
      <c r="B1516" s="6"/>
      <c r="F1516" s="6"/>
      <c r="G1516" s="6"/>
      <c r="J1516" s="7"/>
      <c r="K1516" s="6"/>
      <c r="R1516" s="7"/>
    </row>
    <row r="1517" ht="22.5" customHeight="1">
      <c r="A1517" s="6">
        <v>1516.0</v>
      </c>
      <c r="B1517" s="6"/>
      <c r="F1517" s="6"/>
      <c r="G1517" s="6"/>
      <c r="J1517" s="7"/>
      <c r="K1517" s="6"/>
      <c r="R1517" s="7"/>
    </row>
    <row r="1518" ht="22.5" customHeight="1">
      <c r="A1518" s="6">
        <v>1517.0</v>
      </c>
      <c r="B1518" s="6"/>
      <c r="F1518" s="6"/>
      <c r="G1518" s="6"/>
      <c r="J1518" s="7"/>
      <c r="K1518" s="6"/>
      <c r="R1518" s="7"/>
    </row>
    <row r="1519" ht="22.5" customHeight="1">
      <c r="A1519" s="6">
        <v>1518.0</v>
      </c>
      <c r="B1519" s="6"/>
      <c r="F1519" s="6"/>
      <c r="G1519" s="6"/>
      <c r="J1519" s="7"/>
      <c r="K1519" s="6"/>
      <c r="R1519" s="7"/>
    </row>
    <row r="1520" ht="22.5" customHeight="1">
      <c r="A1520" s="6">
        <v>1519.0</v>
      </c>
      <c r="B1520" s="6"/>
      <c r="F1520" s="6"/>
      <c r="G1520" s="6"/>
      <c r="J1520" s="7"/>
      <c r="K1520" s="6"/>
      <c r="R1520" s="7"/>
    </row>
    <row r="1521" ht="22.5" customHeight="1">
      <c r="A1521" s="6">
        <v>1520.0</v>
      </c>
      <c r="B1521" s="6"/>
      <c r="F1521" s="6"/>
      <c r="G1521" s="6"/>
      <c r="J1521" s="7"/>
      <c r="K1521" s="6"/>
      <c r="R1521" s="7"/>
    </row>
    <row r="1522" ht="22.5" customHeight="1">
      <c r="A1522" s="6">
        <v>1521.0</v>
      </c>
      <c r="B1522" s="6"/>
      <c r="F1522" s="6"/>
      <c r="G1522" s="6"/>
      <c r="J1522" s="7"/>
      <c r="K1522" s="6"/>
      <c r="R1522" s="7"/>
    </row>
    <row r="1523" ht="22.5" customHeight="1">
      <c r="A1523" s="6">
        <v>1522.0</v>
      </c>
      <c r="B1523" s="6"/>
      <c r="F1523" s="6"/>
      <c r="G1523" s="6"/>
      <c r="J1523" s="7"/>
      <c r="K1523" s="6"/>
      <c r="R1523" s="7"/>
    </row>
    <row r="1524" ht="22.5" customHeight="1">
      <c r="A1524" s="6">
        <v>1523.0</v>
      </c>
      <c r="B1524" s="6"/>
      <c r="F1524" s="6"/>
      <c r="G1524" s="6"/>
      <c r="J1524" s="7"/>
      <c r="K1524" s="6"/>
      <c r="R1524" s="7"/>
    </row>
    <row r="1525" ht="22.5" customHeight="1">
      <c r="A1525" s="6">
        <v>1524.0</v>
      </c>
      <c r="B1525" s="6"/>
      <c r="F1525" s="6"/>
      <c r="G1525" s="6"/>
      <c r="J1525" s="7"/>
      <c r="K1525" s="6"/>
      <c r="R1525" s="7"/>
    </row>
    <row r="1526" ht="22.5" customHeight="1">
      <c r="A1526" s="6">
        <v>1525.0</v>
      </c>
      <c r="B1526" s="6"/>
      <c r="F1526" s="6"/>
      <c r="G1526" s="6"/>
      <c r="J1526" s="7"/>
      <c r="K1526" s="6"/>
      <c r="R1526" s="7"/>
    </row>
    <row r="1527" ht="22.5" customHeight="1">
      <c r="A1527" s="6">
        <v>1526.0</v>
      </c>
      <c r="B1527" s="6"/>
      <c r="F1527" s="6"/>
      <c r="G1527" s="6"/>
      <c r="J1527" s="7"/>
      <c r="K1527" s="6"/>
      <c r="R1527" s="7"/>
    </row>
    <row r="1528" ht="22.5" customHeight="1">
      <c r="A1528" s="6">
        <v>1527.0</v>
      </c>
      <c r="B1528" s="6"/>
      <c r="F1528" s="6"/>
      <c r="G1528" s="6"/>
      <c r="J1528" s="7"/>
      <c r="K1528" s="6"/>
      <c r="R1528" s="7"/>
    </row>
    <row r="1529" ht="22.5" customHeight="1">
      <c r="A1529" s="6">
        <v>1528.0</v>
      </c>
      <c r="B1529" s="6"/>
      <c r="F1529" s="6"/>
      <c r="G1529" s="6"/>
      <c r="J1529" s="7"/>
      <c r="K1529" s="6"/>
      <c r="R1529" s="7"/>
    </row>
    <row r="1530" ht="22.5" customHeight="1">
      <c r="A1530" s="6">
        <v>1529.0</v>
      </c>
      <c r="B1530" s="6"/>
      <c r="F1530" s="6"/>
      <c r="G1530" s="6"/>
      <c r="J1530" s="7"/>
      <c r="K1530" s="6"/>
      <c r="R1530" s="7"/>
    </row>
    <row r="1531" ht="22.5" customHeight="1">
      <c r="A1531" s="6">
        <v>1530.0</v>
      </c>
      <c r="B1531" s="6"/>
      <c r="F1531" s="6"/>
      <c r="G1531" s="6"/>
      <c r="J1531" s="7"/>
      <c r="K1531" s="6"/>
      <c r="R1531" s="7"/>
    </row>
    <row r="1532" ht="22.5" customHeight="1">
      <c r="A1532" s="6">
        <v>1531.0</v>
      </c>
      <c r="B1532" s="6"/>
      <c r="F1532" s="6"/>
      <c r="G1532" s="6"/>
      <c r="J1532" s="7"/>
      <c r="K1532" s="6"/>
      <c r="R1532" s="7"/>
    </row>
    <row r="1533" ht="22.5" customHeight="1">
      <c r="A1533" s="6">
        <v>1532.0</v>
      </c>
      <c r="B1533" s="6"/>
      <c r="F1533" s="6"/>
      <c r="G1533" s="6"/>
      <c r="J1533" s="7"/>
      <c r="K1533" s="6"/>
      <c r="R1533" s="7"/>
    </row>
    <row r="1534" ht="22.5" customHeight="1">
      <c r="A1534" s="6">
        <v>1533.0</v>
      </c>
      <c r="B1534" s="6"/>
      <c r="F1534" s="6"/>
      <c r="G1534" s="6"/>
      <c r="J1534" s="7"/>
      <c r="K1534" s="6"/>
      <c r="R1534" s="7"/>
    </row>
    <row r="1535" ht="22.5" customHeight="1">
      <c r="A1535" s="6">
        <v>1534.0</v>
      </c>
      <c r="B1535" s="6"/>
      <c r="F1535" s="6"/>
      <c r="G1535" s="6"/>
      <c r="J1535" s="7"/>
      <c r="K1535" s="6"/>
      <c r="R1535" s="7"/>
    </row>
    <row r="1536" ht="22.5" customHeight="1">
      <c r="A1536" s="6">
        <v>1535.0</v>
      </c>
      <c r="B1536" s="6"/>
      <c r="F1536" s="6"/>
      <c r="G1536" s="6"/>
      <c r="J1536" s="7"/>
      <c r="K1536" s="6"/>
      <c r="R1536" s="7"/>
    </row>
    <row r="1537" ht="22.5" customHeight="1">
      <c r="A1537" s="6">
        <v>1536.0</v>
      </c>
      <c r="B1537" s="6"/>
      <c r="F1537" s="6"/>
      <c r="G1537" s="6"/>
      <c r="J1537" s="7"/>
      <c r="K1537" s="6"/>
      <c r="R1537" s="7"/>
    </row>
    <row r="1538" ht="22.5" customHeight="1">
      <c r="A1538" s="6">
        <v>1537.0</v>
      </c>
      <c r="B1538" s="6"/>
      <c r="F1538" s="6"/>
      <c r="G1538" s="6"/>
      <c r="J1538" s="7"/>
      <c r="K1538" s="6"/>
      <c r="R1538" s="7"/>
    </row>
    <row r="1539" ht="22.5" customHeight="1">
      <c r="A1539" s="6">
        <v>1538.0</v>
      </c>
      <c r="B1539" s="6"/>
      <c r="F1539" s="6"/>
      <c r="G1539" s="6"/>
      <c r="J1539" s="7"/>
      <c r="K1539" s="6"/>
      <c r="R1539" s="7"/>
    </row>
    <row r="1540" ht="22.5" customHeight="1">
      <c r="A1540" s="6">
        <v>1539.0</v>
      </c>
      <c r="B1540" s="6"/>
      <c r="F1540" s="6"/>
      <c r="G1540" s="6"/>
      <c r="J1540" s="7"/>
      <c r="K1540" s="6"/>
      <c r="R1540" s="7"/>
    </row>
    <row r="1541" ht="22.5" customHeight="1">
      <c r="A1541" s="6">
        <v>1540.0</v>
      </c>
      <c r="B1541" s="6"/>
      <c r="F1541" s="6"/>
      <c r="G1541" s="6"/>
      <c r="J1541" s="7"/>
      <c r="K1541" s="6"/>
      <c r="R1541" s="7"/>
    </row>
    <row r="1542" ht="22.5" customHeight="1">
      <c r="A1542" s="6">
        <v>1541.0</v>
      </c>
      <c r="B1542" s="6"/>
      <c r="F1542" s="6"/>
      <c r="G1542" s="6"/>
      <c r="J1542" s="7"/>
      <c r="K1542" s="6"/>
      <c r="R1542" s="7"/>
    </row>
    <row r="1543" ht="22.5" customHeight="1">
      <c r="A1543" s="6">
        <v>1542.0</v>
      </c>
      <c r="B1543" s="6"/>
      <c r="F1543" s="6"/>
      <c r="G1543" s="6"/>
      <c r="J1543" s="7"/>
      <c r="K1543" s="6"/>
      <c r="R1543" s="7"/>
    </row>
    <row r="1544" ht="22.5" customHeight="1">
      <c r="A1544" s="6">
        <v>1543.0</v>
      </c>
      <c r="B1544" s="6"/>
      <c r="F1544" s="6"/>
      <c r="G1544" s="6"/>
      <c r="J1544" s="7"/>
      <c r="K1544" s="6"/>
      <c r="R1544" s="7"/>
    </row>
    <row r="1545" ht="22.5" customHeight="1">
      <c r="A1545" s="6">
        <v>1544.0</v>
      </c>
      <c r="B1545" s="6"/>
      <c r="F1545" s="6"/>
      <c r="G1545" s="6"/>
      <c r="J1545" s="7"/>
      <c r="K1545" s="6"/>
      <c r="R1545" s="7"/>
    </row>
    <row r="1546" ht="22.5" customHeight="1">
      <c r="A1546" s="6">
        <v>1545.0</v>
      </c>
      <c r="B1546" s="6"/>
      <c r="F1546" s="6"/>
      <c r="G1546" s="6"/>
      <c r="J1546" s="7"/>
      <c r="K1546" s="6"/>
      <c r="R1546" s="7"/>
    </row>
    <row r="1547" ht="22.5" customHeight="1">
      <c r="A1547" s="6">
        <v>1546.0</v>
      </c>
      <c r="B1547" s="6"/>
      <c r="F1547" s="6"/>
      <c r="G1547" s="6"/>
      <c r="J1547" s="7"/>
      <c r="K1547" s="6"/>
      <c r="R1547" s="7"/>
    </row>
    <row r="1548" ht="22.5" customHeight="1">
      <c r="A1548" s="6">
        <v>1547.0</v>
      </c>
      <c r="B1548" s="6"/>
      <c r="F1548" s="6"/>
      <c r="G1548" s="6"/>
      <c r="J1548" s="7"/>
      <c r="K1548" s="6"/>
      <c r="R1548" s="7"/>
    </row>
    <row r="1549" ht="22.5" customHeight="1">
      <c r="A1549" s="6">
        <v>1548.0</v>
      </c>
      <c r="B1549" s="6"/>
      <c r="F1549" s="6"/>
      <c r="G1549" s="6"/>
      <c r="J1549" s="7"/>
      <c r="K1549" s="6"/>
      <c r="R1549" s="7"/>
    </row>
    <row r="1550" ht="22.5" customHeight="1">
      <c r="A1550" s="6">
        <v>1549.0</v>
      </c>
      <c r="B1550" s="6"/>
      <c r="F1550" s="6"/>
      <c r="G1550" s="6"/>
      <c r="J1550" s="7"/>
      <c r="K1550" s="6"/>
      <c r="R1550" s="7"/>
    </row>
    <row r="1551" ht="22.5" customHeight="1">
      <c r="A1551" s="6">
        <v>1550.0</v>
      </c>
      <c r="B1551" s="6"/>
      <c r="F1551" s="6"/>
      <c r="G1551" s="6"/>
      <c r="J1551" s="7"/>
      <c r="K1551" s="6"/>
      <c r="R1551" s="7"/>
    </row>
    <row r="1552" ht="22.5" customHeight="1">
      <c r="A1552" s="6">
        <v>1551.0</v>
      </c>
      <c r="B1552" s="6"/>
      <c r="F1552" s="6"/>
      <c r="G1552" s="6"/>
      <c r="J1552" s="7"/>
      <c r="K1552" s="6"/>
      <c r="R1552" s="7"/>
    </row>
    <row r="1553" ht="22.5" customHeight="1">
      <c r="A1553" s="6">
        <v>1552.0</v>
      </c>
      <c r="B1553" s="6"/>
      <c r="F1553" s="6"/>
      <c r="G1553" s="6"/>
      <c r="J1553" s="7"/>
      <c r="K1553" s="6"/>
      <c r="R1553" s="7"/>
    </row>
    <row r="1554" ht="22.5" customHeight="1">
      <c r="A1554" s="6">
        <v>1553.0</v>
      </c>
      <c r="B1554" s="6"/>
      <c r="F1554" s="6"/>
      <c r="G1554" s="6"/>
      <c r="J1554" s="7"/>
      <c r="K1554" s="6"/>
      <c r="R1554" s="7"/>
    </row>
    <row r="1555" ht="22.5" customHeight="1">
      <c r="A1555" s="6">
        <v>1554.0</v>
      </c>
      <c r="B1555" s="6"/>
      <c r="F1555" s="6"/>
      <c r="G1555" s="6"/>
      <c r="J1555" s="7"/>
      <c r="K1555" s="6"/>
      <c r="R1555" s="7"/>
    </row>
    <row r="1556" ht="22.5" customHeight="1">
      <c r="A1556" s="6">
        <v>1555.0</v>
      </c>
      <c r="B1556" s="6"/>
      <c r="F1556" s="6"/>
      <c r="G1556" s="6"/>
      <c r="J1556" s="7"/>
      <c r="K1556" s="6"/>
      <c r="R1556" s="7"/>
    </row>
    <row r="1557" ht="22.5" customHeight="1">
      <c r="A1557" s="6">
        <v>1556.0</v>
      </c>
      <c r="B1557" s="6"/>
      <c r="F1557" s="6"/>
      <c r="G1557" s="6"/>
      <c r="J1557" s="7"/>
      <c r="K1557" s="6"/>
      <c r="R1557" s="7"/>
    </row>
    <row r="1558" ht="22.5" customHeight="1">
      <c r="A1558" s="6">
        <v>1557.0</v>
      </c>
      <c r="B1558" s="6"/>
      <c r="F1558" s="6"/>
      <c r="G1558" s="6"/>
      <c r="J1558" s="7"/>
      <c r="K1558" s="6"/>
      <c r="R1558" s="7"/>
    </row>
    <row r="1559" ht="22.5" customHeight="1">
      <c r="A1559" s="6">
        <v>1558.0</v>
      </c>
      <c r="B1559" s="6"/>
      <c r="F1559" s="6"/>
      <c r="G1559" s="6"/>
      <c r="J1559" s="7"/>
      <c r="K1559" s="6"/>
      <c r="R1559" s="7"/>
    </row>
    <row r="1560" ht="22.5" customHeight="1">
      <c r="A1560" s="6">
        <v>1559.0</v>
      </c>
      <c r="B1560" s="6"/>
      <c r="F1560" s="6"/>
      <c r="G1560" s="6"/>
      <c r="J1560" s="7"/>
      <c r="K1560" s="6"/>
      <c r="R1560" s="7"/>
    </row>
    <row r="1561" ht="22.5" customHeight="1">
      <c r="A1561" s="6">
        <v>1560.0</v>
      </c>
      <c r="B1561" s="6"/>
      <c r="F1561" s="6"/>
      <c r="G1561" s="6"/>
      <c r="J1561" s="7"/>
      <c r="K1561" s="6"/>
      <c r="R1561" s="7"/>
    </row>
    <row r="1562" ht="22.5" customHeight="1">
      <c r="A1562" s="6">
        <v>1561.0</v>
      </c>
      <c r="B1562" s="6"/>
      <c r="F1562" s="6"/>
      <c r="G1562" s="6"/>
      <c r="J1562" s="7"/>
      <c r="K1562" s="6"/>
      <c r="R1562" s="7"/>
    </row>
    <row r="1563" ht="22.5" customHeight="1">
      <c r="A1563" s="6">
        <v>1562.0</v>
      </c>
      <c r="B1563" s="6"/>
      <c r="F1563" s="6"/>
      <c r="G1563" s="6"/>
      <c r="J1563" s="7"/>
      <c r="K1563" s="6"/>
      <c r="R1563" s="7"/>
    </row>
    <row r="1564" ht="22.5" customHeight="1">
      <c r="A1564" s="6">
        <v>1563.0</v>
      </c>
      <c r="B1564" s="6"/>
      <c r="F1564" s="6"/>
      <c r="G1564" s="6"/>
      <c r="J1564" s="7"/>
      <c r="K1564" s="6"/>
      <c r="R1564" s="7"/>
    </row>
    <row r="1565" ht="22.5" customHeight="1">
      <c r="A1565" s="6">
        <v>1564.0</v>
      </c>
      <c r="B1565" s="6"/>
      <c r="F1565" s="6"/>
      <c r="G1565" s="6"/>
      <c r="J1565" s="7"/>
      <c r="K1565" s="6"/>
      <c r="R1565" s="7"/>
    </row>
    <row r="1566" ht="22.5" customHeight="1">
      <c r="A1566" s="6">
        <v>1565.0</v>
      </c>
      <c r="B1566" s="6"/>
      <c r="F1566" s="6"/>
      <c r="G1566" s="6"/>
      <c r="J1566" s="7"/>
      <c r="K1566" s="6"/>
      <c r="R1566" s="7"/>
    </row>
    <row r="1567" ht="22.5" customHeight="1">
      <c r="A1567" s="6">
        <v>1566.0</v>
      </c>
      <c r="B1567" s="6"/>
      <c r="F1567" s="6"/>
      <c r="G1567" s="6"/>
      <c r="J1567" s="7"/>
      <c r="K1567" s="6"/>
      <c r="R1567" s="7"/>
    </row>
    <row r="1568" ht="22.5" customHeight="1">
      <c r="A1568" s="6">
        <v>1567.0</v>
      </c>
      <c r="B1568" s="6"/>
      <c r="F1568" s="6"/>
      <c r="G1568" s="6"/>
      <c r="J1568" s="7"/>
      <c r="K1568" s="6"/>
      <c r="R1568" s="7"/>
    </row>
    <row r="1569" ht="22.5" customHeight="1">
      <c r="A1569" s="6">
        <v>1568.0</v>
      </c>
      <c r="B1569" s="6"/>
      <c r="F1569" s="6"/>
      <c r="G1569" s="6"/>
      <c r="J1569" s="7"/>
      <c r="K1569" s="6"/>
      <c r="R1569" s="7"/>
    </row>
    <row r="1570" ht="22.5" customHeight="1">
      <c r="A1570" s="6">
        <v>1569.0</v>
      </c>
      <c r="B1570" s="6"/>
      <c r="F1570" s="6"/>
      <c r="G1570" s="6"/>
      <c r="J1570" s="7"/>
      <c r="K1570" s="6"/>
      <c r="R1570" s="7"/>
    </row>
    <row r="1571" ht="22.5" customHeight="1">
      <c r="A1571" s="6">
        <v>1570.0</v>
      </c>
      <c r="B1571" s="6"/>
      <c r="F1571" s="6"/>
      <c r="G1571" s="6"/>
      <c r="J1571" s="7"/>
      <c r="K1571" s="6"/>
      <c r="R1571" s="7"/>
    </row>
    <row r="1572" ht="22.5" customHeight="1">
      <c r="A1572" s="6">
        <v>1571.0</v>
      </c>
      <c r="B1572" s="6"/>
      <c r="F1572" s="6"/>
      <c r="G1572" s="6"/>
      <c r="J1572" s="7"/>
      <c r="K1572" s="6"/>
      <c r="R1572" s="7"/>
    </row>
    <row r="1573" ht="22.5" customHeight="1">
      <c r="A1573" s="6">
        <v>1572.0</v>
      </c>
      <c r="B1573" s="6"/>
      <c r="F1573" s="6"/>
      <c r="G1573" s="6"/>
      <c r="J1573" s="7"/>
      <c r="K1573" s="6"/>
      <c r="R1573" s="7"/>
    </row>
    <row r="1574" ht="22.5" customHeight="1">
      <c r="A1574" s="6">
        <v>1573.0</v>
      </c>
      <c r="B1574" s="6"/>
      <c r="F1574" s="6"/>
      <c r="G1574" s="6"/>
      <c r="J1574" s="7"/>
      <c r="K1574" s="6"/>
      <c r="R1574" s="7"/>
    </row>
    <row r="1575" ht="22.5" customHeight="1">
      <c r="A1575" s="6">
        <v>1574.0</v>
      </c>
      <c r="B1575" s="6"/>
      <c r="F1575" s="6"/>
      <c r="G1575" s="6"/>
      <c r="J1575" s="7"/>
      <c r="K1575" s="6"/>
      <c r="R1575" s="7"/>
    </row>
    <row r="1576" ht="22.5" customHeight="1">
      <c r="A1576" s="6">
        <v>1575.0</v>
      </c>
      <c r="B1576" s="6"/>
      <c r="F1576" s="6"/>
      <c r="G1576" s="6"/>
      <c r="J1576" s="7"/>
      <c r="K1576" s="6"/>
      <c r="R1576" s="7"/>
    </row>
    <row r="1577" ht="22.5" customHeight="1">
      <c r="A1577" s="6">
        <v>1576.0</v>
      </c>
      <c r="B1577" s="6"/>
      <c r="F1577" s="6"/>
      <c r="G1577" s="6"/>
      <c r="J1577" s="7"/>
      <c r="K1577" s="6"/>
      <c r="R1577" s="7"/>
    </row>
    <row r="1578" ht="22.5" customHeight="1">
      <c r="A1578" s="6">
        <v>1577.0</v>
      </c>
      <c r="B1578" s="6"/>
      <c r="F1578" s="6"/>
      <c r="G1578" s="6"/>
      <c r="J1578" s="7"/>
      <c r="K1578" s="6"/>
      <c r="R1578" s="7"/>
    </row>
    <row r="1579" ht="22.5" customHeight="1">
      <c r="A1579" s="6">
        <v>1578.0</v>
      </c>
      <c r="B1579" s="6"/>
      <c r="F1579" s="6"/>
      <c r="G1579" s="6"/>
      <c r="J1579" s="7"/>
      <c r="K1579" s="6"/>
      <c r="R1579" s="7"/>
    </row>
    <row r="1580" ht="22.5" customHeight="1">
      <c r="A1580" s="6">
        <v>1579.0</v>
      </c>
      <c r="B1580" s="6"/>
      <c r="F1580" s="6"/>
      <c r="G1580" s="6"/>
      <c r="J1580" s="7"/>
      <c r="K1580" s="6"/>
      <c r="R1580" s="7"/>
    </row>
    <row r="1581" ht="22.5" customHeight="1">
      <c r="A1581" s="6">
        <v>1580.0</v>
      </c>
      <c r="B1581" s="6"/>
      <c r="F1581" s="6"/>
      <c r="G1581" s="6"/>
      <c r="J1581" s="7"/>
      <c r="K1581" s="6"/>
      <c r="R1581" s="7"/>
    </row>
    <row r="1582" ht="22.5" customHeight="1">
      <c r="A1582" s="6">
        <v>1581.0</v>
      </c>
      <c r="B1582" s="6"/>
      <c r="F1582" s="6"/>
      <c r="G1582" s="6"/>
      <c r="J1582" s="7"/>
      <c r="K1582" s="6"/>
      <c r="R1582" s="7"/>
    </row>
    <row r="1583" ht="22.5" customHeight="1">
      <c r="A1583" s="6">
        <v>1582.0</v>
      </c>
      <c r="B1583" s="6"/>
      <c r="F1583" s="6"/>
      <c r="G1583" s="6"/>
      <c r="J1583" s="7"/>
      <c r="K1583" s="6"/>
      <c r="R1583" s="7"/>
    </row>
    <row r="1584" ht="22.5" customHeight="1">
      <c r="A1584" s="6">
        <v>1583.0</v>
      </c>
      <c r="B1584" s="6"/>
      <c r="F1584" s="6"/>
      <c r="G1584" s="6"/>
      <c r="J1584" s="7"/>
      <c r="K1584" s="6"/>
      <c r="R1584" s="7"/>
    </row>
    <row r="1585" ht="22.5" customHeight="1">
      <c r="A1585" s="6">
        <v>1584.0</v>
      </c>
      <c r="B1585" s="6"/>
      <c r="F1585" s="6"/>
      <c r="G1585" s="6"/>
      <c r="J1585" s="7"/>
      <c r="K1585" s="6"/>
      <c r="R1585" s="7"/>
    </row>
    <row r="1586" ht="22.5" customHeight="1">
      <c r="A1586" s="6">
        <v>1585.0</v>
      </c>
      <c r="B1586" s="6"/>
      <c r="F1586" s="6"/>
      <c r="G1586" s="6"/>
      <c r="J1586" s="7"/>
      <c r="K1586" s="6"/>
      <c r="R1586" s="7"/>
    </row>
    <row r="1587" ht="22.5" customHeight="1">
      <c r="A1587" s="6">
        <v>1586.0</v>
      </c>
      <c r="B1587" s="6"/>
      <c r="F1587" s="6"/>
      <c r="G1587" s="6"/>
      <c r="J1587" s="7"/>
      <c r="K1587" s="6"/>
      <c r="R1587" s="7"/>
    </row>
    <row r="1588" ht="22.5" customHeight="1">
      <c r="A1588" s="6">
        <v>1587.0</v>
      </c>
      <c r="B1588" s="6"/>
      <c r="F1588" s="6"/>
      <c r="G1588" s="6"/>
      <c r="J1588" s="7"/>
      <c r="K1588" s="6"/>
      <c r="R1588" s="7"/>
    </row>
    <row r="1589" ht="22.5" customHeight="1">
      <c r="A1589" s="6">
        <v>1588.0</v>
      </c>
      <c r="B1589" s="6"/>
      <c r="F1589" s="6"/>
      <c r="G1589" s="6"/>
      <c r="J1589" s="7"/>
      <c r="K1589" s="6"/>
      <c r="R1589" s="7"/>
    </row>
    <row r="1590" ht="22.5" customHeight="1">
      <c r="A1590" s="6">
        <v>1589.0</v>
      </c>
      <c r="B1590" s="6"/>
      <c r="F1590" s="6"/>
      <c r="G1590" s="6"/>
      <c r="J1590" s="7"/>
      <c r="K1590" s="6"/>
      <c r="R1590" s="7"/>
    </row>
    <row r="1591" ht="22.5" customHeight="1">
      <c r="A1591" s="6">
        <v>1590.0</v>
      </c>
      <c r="B1591" s="6"/>
      <c r="F1591" s="6"/>
      <c r="G1591" s="6"/>
      <c r="J1591" s="7"/>
      <c r="K1591" s="6"/>
      <c r="R1591" s="7"/>
    </row>
    <row r="1592" ht="22.5" customHeight="1">
      <c r="A1592" s="6">
        <v>1591.0</v>
      </c>
      <c r="B1592" s="6"/>
      <c r="F1592" s="6"/>
      <c r="G1592" s="6"/>
      <c r="J1592" s="7"/>
      <c r="K1592" s="6"/>
      <c r="R1592" s="7"/>
    </row>
    <row r="1593" ht="22.5" customHeight="1">
      <c r="A1593" s="6">
        <v>1592.0</v>
      </c>
      <c r="B1593" s="6"/>
      <c r="F1593" s="6"/>
      <c r="G1593" s="6"/>
      <c r="J1593" s="7"/>
      <c r="K1593" s="6"/>
      <c r="R1593" s="7"/>
    </row>
    <row r="1594" ht="22.5" customHeight="1">
      <c r="A1594" s="6">
        <v>1593.0</v>
      </c>
      <c r="B1594" s="6"/>
      <c r="F1594" s="6"/>
      <c r="G1594" s="6"/>
      <c r="J1594" s="7"/>
      <c r="K1594" s="6"/>
      <c r="R1594" s="7"/>
    </row>
    <row r="1595" ht="22.5" customHeight="1">
      <c r="A1595" s="6">
        <v>1594.0</v>
      </c>
      <c r="B1595" s="6"/>
      <c r="F1595" s="6"/>
      <c r="G1595" s="6"/>
      <c r="J1595" s="7"/>
      <c r="K1595" s="6"/>
      <c r="R1595" s="7"/>
    </row>
    <row r="1596" ht="22.5" customHeight="1">
      <c r="A1596" s="6">
        <v>1595.0</v>
      </c>
      <c r="B1596" s="6"/>
      <c r="F1596" s="6"/>
      <c r="G1596" s="6"/>
      <c r="J1596" s="7"/>
      <c r="K1596" s="6"/>
      <c r="R1596" s="7"/>
    </row>
    <row r="1597" ht="22.5" customHeight="1">
      <c r="A1597" s="6">
        <v>1596.0</v>
      </c>
      <c r="B1597" s="6"/>
      <c r="F1597" s="6"/>
      <c r="G1597" s="6"/>
      <c r="J1597" s="7"/>
      <c r="K1597" s="6"/>
      <c r="R1597" s="7"/>
    </row>
    <row r="1598" ht="22.5" customHeight="1">
      <c r="A1598" s="6">
        <v>1597.0</v>
      </c>
      <c r="B1598" s="6"/>
      <c r="F1598" s="6"/>
      <c r="G1598" s="6"/>
      <c r="J1598" s="7"/>
      <c r="K1598" s="6"/>
      <c r="R1598" s="7"/>
    </row>
    <row r="1599" ht="22.5" customHeight="1">
      <c r="A1599" s="6">
        <v>1598.0</v>
      </c>
      <c r="B1599" s="6"/>
      <c r="F1599" s="6"/>
      <c r="G1599" s="6"/>
      <c r="J1599" s="7"/>
      <c r="K1599" s="6"/>
      <c r="R1599" s="7"/>
    </row>
    <row r="1600" ht="22.5" customHeight="1">
      <c r="A1600" s="6">
        <v>1599.0</v>
      </c>
      <c r="B1600" s="6"/>
      <c r="F1600" s="6"/>
      <c r="G1600" s="6"/>
      <c r="J1600" s="7"/>
      <c r="K1600" s="6"/>
      <c r="R1600" s="7"/>
    </row>
    <row r="1601" ht="22.5" customHeight="1">
      <c r="A1601" s="6">
        <v>1600.0</v>
      </c>
      <c r="B1601" s="6"/>
      <c r="F1601" s="6"/>
      <c r="G1601" s="6"/>
      <c r="J1601" s="7"/>
      <c r="K1601" s="6"/>
      <c r="R1601" s="7"/>
    </row>
    <row r="1602" ht="22.5" customHeight="1">
      <c r="A1602" s="6">
        <v>1601.0</v>
      </c>
      <c r="B1602" s="6"/>
      <c r="F1602" s="6"/>
      <c r="G1602" s="6"/>
      <c r="J1602" s="7"/>
      <c r="K1602" s="6"/>
      <c r="R1602" s="7"/>
    </row>
    <row r="1603" ht="22.5" customHeight="1">
      <c r="A1603" s="6">
        <v>1602.0</v>
      </c>
      <c r="B1603" s="6"/>
      <c r="F1603" s="6"/>
      <c r="G1603" s="6"/>
      <c r="J1603" s="7"/>
      <c r="K1603" s="6"/>
      <c r="R1603" s="7"/>
    </row>
    <row r="1604" ht="22.5" customHeight="1">
      <c r="A1604" s="6">
        <v>1603.0</v>
      </c>
      <c r="B1604" s="6"/>
      <c r="F1604" s="6"/>
      <c r="G1604" s="6"/>
      <c r="J1604" s="7"/>
      <c r="K1604" s="6"/>
      <c r="R1604" s="7"/>
    </row>
    <row r="1605" ht="22.5" customHeight="1">
      <c r="A1605" s="6">
        <v>1604.0</v>
      </c>
      <c r="B1605" s="6"/>
      <c r="F1605" s="6"/>
      <c r="G1605" s="6"/>
      <c r="J1605" s="7"/>
      <c r="K1605" s="6"/>
      <c r="R1605" s="7"/>
    </row>
    <row r="1606" ht="22.5" customHeight="1">
      <c r="A1606" s="6">
        <v>1605.0</v>
      </c>
      <c r="B1606" s="6"/>
      <c r="F1606" s="6"/>
      <c r="G1606" s="6"/>
      <c r="J1606" s="7"/>
      <c r="K1606" s="6"/>
      <c r="R1606" s="7"/>
    </row>
    <row r="1607" ht="22.5" customHeight="1">
      <c r="A1607" s="6">
        <v>1606.0</v>
      </c>
      <c r="B1607" s="6"/>
      <c r="F1607" s="6"/>
      <c r="G1607" s="6"/>
      <c r="J1607" s="7"/>
      <c r="K1607" s="6"/>
      <c r="R1607" s="7"/>
    </row>
    <row r="1608" ht="22.5" customHeight="1">
      <c r="A1608" s="6">
        <v>1607.0</v>
      </c>
      <c r="B1608" s="6"/>
      <c r="F1608" s="6"/>
      <c r="G1608" s="6"/>
      <c r="J1608" s="7"/>
      <c r="K1608" s="6"/>
      <c r="R1608" s="7"/>
    </row>
    <row r="1609" ht="22.5" customHeight="1">
      <c r="A1609" s="6">
        <v>1608.0</v>
      </c>
      <c r="B1609" s="6"/>
      <c r="F1609" s="6"/>
      <c r="G1609" s="6"/>
      <c r="J1609" s="7"/>
      <c r="K1609" s="6"/>
      <c r="R1609" s="7"/>
    </row>
    <row r="1610" ht="22.5" customHeight="1">
      <c r="A1610" s="6">
        <v>1609.0</v>
      </c>
      <c r="B1610" s="6"/>
      <c r="F1610" s="6"/>
      <c r="G1610" s="6"/>
      <c r="J1610" s="7"/>
      <c r="K1610" s="6"/>
      <c r="R1610" s="7"/>
    </row>
    <row r="1611" ht="22.5" customHeight="1">
      <c r="A1611" s="6">
        <v>1610.0</v>
      </c>
      <c r="B1611" s="6"/>
      <c r="F1611" s="6"/>
      <c r="G1611" s="6"/>
      <c r="J1611" s="7"/>
      <c r="K1611" s="6"/>
      <c r="R1611" s="7"/>
    </row>
    <row r="1612" ht="22.5" customHeight="1">
      <c r="A1612" s="6">
        <v>1611.0</v>
      </c>
      <c r="B1612" s="6"/>
      <c r="F1612" s="6"/>
      <c r="G1612" s="6"/>
      <c r="J1612" s="7"/>
      <c r="K1612" s="6"/>
      <c r="R1612" s="7"/>
    </row>
    <row r="1613" ht="22.5" customHeight="1">
      <c r="A1613" s="6">
        <v>1612.0</v>
      </c>
      <c r="B1613" s="6"/>
      <c r="F1613" s="6"/>
      <c r="G1613" s="6"/>
      <c r="J1613" s="7"/>
      <c r="K1613" s="6"/>
      <c r="R1613" s="7"/>
    </row>
    <row r="1614" ht="22.5" customHeight="1">
      <c r="A1614" s="6">
        <v>1613.0</v>
      </c>
      <c r="B1614" s="6"/>
      <c r="F1614" s="6"/>
      <c r="G1614" s="6"/>
      <c r="J1614" s="7"/>
      <c r="K1614" s="6"/>
      <c r="R1614" s="7"/>
    </row>
    <row r="1615" ht="22.5" customHeight="1">
      <c r="A1615" s="6">
        <v>1614.0</v>
      </c>
      <c r="B1615" s="6"/>
      <c r="F1615" s="6"/>
      <c r="G1615" s="6"/>
      <c r="J1615" s="7"/>
      <c r="K1615" s="6"/>
      <c r="R1615" s="7"/>
    </row>
    <row r="1616" ht="22.5" customHeight="1">
      <c r="A1616" s="6">
        <v>1615.0</v>
      </c>
      <c r="B1616" s="6"/>
      <c r="F1616" s="6"/>
      <c r="G1616" s="6"/>
      <c r="J1616" s="7"/>
      <c r="K1616" s="6"/>
      <c r="R1616" s="7"/>
    </row>
    <row r="1617" ht="22.5" customHeight="1">
      <c r="A1617" s="6">
        <v>1616.0</v>
      </c>
      <c r="B1617" s="6"/>
      <c r="F1617" s="6"/>
      <c r="G1617" s="6"/>
      <c r="J1617" s="7"/>
      <c r="K1617" s="6"/>
      <c r="R1617" s="7"/>
    </row>
    <row r="1618" ht="22.5" customHeight="1">
      <c r="A1618" s="6">
        <v>1617.0</v>
      </c>
      <c r="B1618" s="6"/>
      <c r="F1618" s="6"/>
      <c r="G1618" s="6"/>
      <c r="J1618" s="7"/>
      <c r="K1618" s="6"/>
      <c r="R1618" s="7"/>
    </row>
    <row r="1619" ht="22.5" customHeight="1">
      <c r="A1619" s="6">
        <v>1618.0</v>
      </c>
      <c r="B1619" s="6"/>
      <c r="F1619" s="6"/>
      <c r="G1619" s="6"/>
      <c r="J1619" s="7"/>
      <c r="K1619" s="6"/>
      <c r="R1619" s="7"/>
    </row>
    <row r="1620" ht="22.5" customHeight="1">
      <c r="A1620" s="6">
        <v>1619.0</v>
      </c>
      <c r="B1620" s="6"/>
      <c r="F1620" s="6"/>
      <c r="G1620" s="6"/>
      <c r="J1620" s="7"/>
      <c r="K1620" s="6"/>
      <c r="R1620" s="7"/>
    </row>
    <row r="1621" ht="22.5" customHeight="1">
      <c r="A1621" s="6">
        <v>1620.0</v>
      </c>
      <c r="B1621" s="6"/>
      <c r="F1621" s="6"/>
      <c r="G1621" s="6"/>
      <c r="J1621" s="7"/>
      <c r="K1621" s="6"/>
      <c r="R1621" s="7"/>
    </row>
    <row r="1622" ht="22.5" customHeight="1">
      <c r="A1622" s="6">
        <v>1621.0</v>
      </c>
      <c r="B1622" s="6"/>
      <c r="F1622" s="6"/>
      <c r="G1622" s="6"/>
      <c r="J1622" s="7"/>
      <c r="K1622" s="6"/>
      <c r="R1622" s="7"/>
    </row>
    <row r="1623" ht="22.5" customHeight="1">
      <c r="A1623" s="6">
        <v>1622.0</v>
      </c>
      <c r="B1623" s="6"/>
      <c r="F1623" s="6"/>
      <c r="G1623" s="6"/>
      <c r="J1623" s="7"/>
      <c r="K1623" s="6"/>
      <c r="R1623" s="7"/>
    </row>
    <row r="1624" ht="22.5" customHeight="1">
      <c r="A1624" s="6">
        <v>1623.0</v>
      </c>
      <c r="B1624" s="6"/>
      <c r="F1624" s="6"/>
      <c r="G1624" s="6"/>
      <c r="J1624" s="7"/>
      <c r="K1624" s="6"/>
      <c r="R1624" s="7"/>
    </row>
    <row r="1625" ht="22.5" customHeight="1">
      <c r="A1625" s="6">
        <v>1624.0</v>
      </c>
      <c r="B1625" s="6"/>
      <c r="F1625" s="6"/>
      <c r="G1625" s="6"/>
      <c r="J1625" s="7"/>
      <c r="K1625" s="6"/>
      <c r="R1625" s="7"/>
    </row>
    <row r="1626" ht="22.5" customHeight="1">
      <c r="A1626" s="6">
        <v>1625.0</v>
      </c>
      <c r="B1626" s="6"/>
      <c r="F1626" s="6"/>
      <c r="G1626" s="6"/>
      <c r="J1626" s="7"/>
      <c r="K1626" s="6"/>
      <c r="R1626" s="7"/>
    </row>
    <row r="1627" ht="22.5" customHeight="1">
      <c r="A1627" s="6">
        <v>1626.0</v>
      </c>
      <c r="B1627" s="6"/>
      <c r="F1627" s="6"/>
      <c r="G1627" s="6"/>
      <c r="J1627" s="7"/>
      <c r="K1627" s="6"/>
      <c r="R1627" s="7"/>
    </row>
    <row r="1628" ht="22.5" customHeight="1">
      <c r="A1628" s="6">
        <v>1627.0</v>
      </c>
      <c r="B1628" s="6"/>
      <c r="F1628" s="6"/>
      <c r="G1628" s="6"/>
      <c r="J1628" s="7"/>
      <c r="K1628" s="6"/>
      <c r="R1628" s="7"/>
    </row>
    <row r="1629" ht="22.5" customHeight="1">
      <c r="A1629" s="6">
        <v>1628.0</v>
      </c>
      <c r="B1629" s="6"/>
      <c r="F1629" s="6"/>
      <c r="G1629" s="6"/>
      <c r="J1629" s="7"/>
      <c r="K1629" s="6"/>
      <c r="R1629" s="7"/>
    </row>
    <row r="1630" ht="22.5" customHeight="1">
      <c r="A1630" s="6">
        <v>1629.0</v>
      </c>
      <c r="B1630" s="6"/>
      <c r="F1630" s="6"/>
      <c r="G1630" s="6"/>
      <c r="J1630" s="7"/>
      <c r="K1630" s="6"/>
      <c r="R1630" s="7"/>
    </row>
    <row r="1631" ht="22.5" customHeight="1">
      <c r="A1631" s="6">
        <v>1630.0</v>
      </c>
      <c r="B1631" s="6"/>
      <c r="F1631" s="6"/>
      <c r="G1631" s="6"/>
      <c r="J1631" s="7"/>
      <c r="K1631" s="6"/>
      <c r="R1631" s="7"/>
    </row>
    <row r="1632" ht="22.5" customHeight="1">
      <c r="A1632" s="6">
        <v>1631.0</v>
      </c>
      <c r="B1632" s="6"/>
      <c r="F1632" s="6"/>
      <c r="G1632" s="6"/>
      <c r="J1632" s="7"/>
      <c r="K1632" s="6"/>
      <c r="R1632" s="7"/>
    </row>
    <row r="1633" ht="22.5" customHeight="1">
      <c r="A1633" s="6">
        <v>1632.0</v>
      </c>
      <c r="B1633" s="6"/>
      <c r="F1633" s="6"/>
      <c r="G1633" s="6"/>
      <c r="J1633" s="7"/>
      <c r="K1633" s="6"/>
      <c r="R1633" s="7"/>
    </row>
    <row r="1634" ht="22.5" customHeight="1">
      <c r="A1634" s="6">
        <v>1633.0</v>
      </c>
      <c r="B1634" s="6"/>
      <c r="F1634" s="6"/>
      <c r="G1634" s="6"/>
      <c r="J1634" s="7"/>
      <c r="K1634" s="6"/>
      <c r="R1634" s="7"/>
    </row>
    <row r="1635" ht="22.5" customHeight="1">
      <c r="A1635" s="6">
        <v>1634.0</v>
      </c>
      <c r="B1635" s="6"/>
      <c r="F1635" s="6"/>
      <c r="G1635" s="6"/>
      <c r="J1635" s="7"/>
      <c r="K1635" s="6"/>
      <c r="R1635" s="7"/>
    </row>
    <row r="1636" ht="22.5" customHeight="1">
      <c r="A1636" s="6">
        <v>1635.0</v>
      </c>
      <c r="B1636" s="6"/>
      <c r="F1636" s="6"/>
      <c r="G1636" s="6"/>
      <c r="J1636" s="7"/>
      <c r="K1636" s="6"/>
      <c r="R1636" s="7"/>
    </row>
    <row r="1637" ht="22.5" customHeight="1">
      <c r="A1637" s="6">
        <v>1636.0</v>
      </c>
      <c r="B1637" s="6"/>
      <c r="F1637" s="6"/>
      <c r="G1637" s="6"/>
      <c r="J1637" s="7"/>
      <c r="K1637" s="6"/>
      <c r="R1637" s="7"/>
    </row>
    <row r="1638" ht="22.5" customHeight="1">
      <c r="A1638" s="6">
        <v>1637.0</v>
      </c>
      <c r="B1638" s="6"/>
      <c r="F1638" s="6"/>
      <c r="G1638" s="6"/>
      <c r="J1638" s="7"/>
      <c r="K1638" s="6"/>
      <c r="R1638" s="7"/>
    </row>
    <row r="1639" ht="22.5" customHeight="1">
      <c r="A1639" s="6">
        <v>1638.0</v>
      </c>
      <c r="B1639" s="6"/>
      <c r="F1639" s="6"/>
      <c r="G1639" s="6"/>
      <c r="J1639" s="7"/>
      <c r="K1639" s="6"/>
      <c r="R1639" s="7"/>
    </row>
    <row r="1640" ht="22.5" customHeight="1">
      <c r="A1640" s="6">
        <v>1639.0</v>
      </c>
      <c r="B1640" s="6"/>
      <c r="F1640" s="6"/>
      <c r="G1640" s="6"/>
      <c r="J1640" s="7"/>
      <c r="K1640" s="6"/>
      <c r="R1640" s="7"/>
    </row>
    <row r="1641" ht="22.5" customHeight="1">
      <c r="A1641" s="6">
        <v>1640.0</v>
      </c>
      <c r="B1641" s="6"/>
      <c r="F1641" s="6"/>
      <c r="G1641" s="6"/>
      <c r="J1641" s="7"/>
      <c r="K1641" s="6"/>
      <c r="R1641" s="7"/>
    </row>
    <row r="1642" ht="22.5" customHeight="1">
      <c r="A1642" s="6">
        <v>1641.0</v>
      </c>
      <c r="B1642" s="6"/>
      <c r="F1642" s="6"/>
      <c r="G1642" s="6"/>
      <c r="J1642" s="7"/>
      <c r="K1642" s="6"/>
      <c r="R1642" s="7"/>
    </row>
    <row r="1643" ht="22.5" customHeight="1">
      <c r="A1643" s="6">
        <v>1642.0</v>
      </c>
      <c r="B1643" s="6"/>
      <c r="F1643" s="6"/>
      <c r="G1643" s="6"/>
      <c r="J1643" s="7"/>
      <c r="K1643" s="6"/>
      <c r="R1643" s="7"/>
    </row>
    <row r="1644" ht="22.5" customHeight="1">
      <c r="A1644" s="6">
        <v>1643.0</v>
      </c>
      <c r="B1644" s="6"/>
      <c r="F1644" s="6"/>
      <c r="G1644" s="6"/>
      <c r="J1644" s="7"/>
      <c r="K1644" s="6"/>
      <c r="R1644" s="7"/>
    </row>
    <row r="1645" ht="22.5" customHeight="1">
      <c r="A1645" s="6">
        <v>1644.0</v>
      </c>
      <c r="B1645" s="6"/>
      <c r="F1645" s="6"/>
      <c r="G1645" s="6"/>
      <c r="J1645" s="7"/>
      <c r="K1645" s="6"/>
      <c r="R1645" s="7"/>
    </row>
    <row r="1646" ht="22.5" customHeight="1">
      <c r="A1646" s="6">
        <v>1645.0</v>
      </c>
      <c r="B1646" s="6"/>
      <c r="F1646" s="6"/>
      <c r="G1646" s="6"/>
      <c r="J1646" s="7"/>
      <c r="K1646" s="6"/>
      <c r="R1646" s="7"/>
    </row>
    <row r="1647" ht="22.5" customHeight="1">
      <c r="A1647" s="6">
        <v>1646.0</v>
      </c>
      <c r="B1647" s="6"/>
      <c r="F1647" s="6"/>
      <c r="G1647" s="6"/>
      <c r="J1647" s="7"/>
      <c r="K1647" s="6"/>
      <c r="R1647" s="7"/>
    </row>
    <row r="1648" ht="22.5" customHeight="1">
      <c r="A1648" s="6">
        <v>1647.0</v>
      </c>
      <c r="B1648" s="6"/>
      <c r="F1648" s="6"/>
      <c r="G1648" s="6"/>
      <c r="J1648" s="7"/>
      <c r="K1648" s="6"/>
      <c r="R1648" s="7"/>
    </row>
    <row r="1649" ht="22.5" customHeight="1">
      <c r="A1649" s="6">
        <v>1648.0</v>
      </c>
      <c r="B1649" s="6"/>
      <c r="F1649" s="6"/>
      <c r="G1649" s="6"/>
      <c r="J1649" s="7"/>
      <c r="K1649" s="6"/>
      <c r="R1649" s="7"/>
    </row>
    <row r="1650" ht="22.5" customHeight="1">
      <c r="A1650" s="6">
        <v>1649.0</v>
      </c>
      <c r="B1650" s="6"/>
      <c r="F1650" s="6"/>
      <c r="G1650" s="6"/>
      <c r="J1650" s="7"/>
      <c r="K1650" s="6"/>
      <c r="R1650" s="7"/>
    </row>
    <row r="1651" ht="22.5" customHeight="1">
      <c r="A1651" s="6">
        <v>1650.0</v>
      </c>
      <c r="B1651" s="6"/>
      <c r="F1651" s="6"/>
      <c r="G1651" s="6"/>
      <c r="J1651" s="7"/>
      <c r="K1651" s="6"/>
      <c r="R1651" s="7"/>
    </row>
    <row r="1652" ht="22.5" customHeight="1">
      <c r="A1652" s="6">
        <v>1651.0</v>
      </c>
      <c r="B1652" s="6"/>
      <c r="F1652" s="6"/>
      <c r="G1652" s="6"/>
      <c r="J1652" s="7"/>
      <c r="K1652" s="6"/>
      <c r="R1652" s="7"/>
    </row>
    <row r="1653" ht="22.5" customHeight="1">
      <c r="A1653" s="6">
        <v>1652.0</v>
      </c>
      <c r="B1653" s="6"/>
      <c r="F1653" s="6"/>
      <c r="G1653" s="6"/>
      <c r="J1653" s="7"/>
      <c r="K1653" s="6"/>
      <c r="R1653" s="7"/>
    </row>
    <row r="1654" ht="22.5" customHeight="1">
      <c r="A1654" s="6">
        <v>1653.0</v>
      </c>
      <c r="B1654" s="6"/>
      <c r="F1654" s="6"/>
      <c r="G1654" s="6"/>
      <c r="J1654" s="7"/>
      <c r="K1654" s="6"/>
      <c r="R1654" s="7"/>
    </row>
    <row r="1655" ht="22.5" customHeight="1">
      <c r="A1655" s="6">
        <v>1654.0</v>
      </c>
      <c r="B1655" s="6"/>
      <c r="F1655" s="6"/>
      <c r="G1655" s="6"/>
      <c r="J1655" s="7"/>
      <c r="K1655" s="6"/>
      <c r="R1655" s="7"/>
    </row>
    <row r="1656" ht="22.5" customHeight="1">
      <c r="A1656" s="6">
        <v>1655.0</v>
      </c>
      <c r="B1656" s="6"/>
      <c r="F1656" s="6"/>
      <c r="G1656" s="6"/>
      <c r="J1656" s="7"/>
      <c r="K1656" s="6"/>
      <c r="R1656" s="7"/>
    </row>
    <row r="1657" ht="22.5" customHeight="1">
      <c r="A1657" s="6">
        <v>1656.0</v>
      </c>
      <c r="B1657" s="6"/>
      <c r="F1657" s="6"/>
      <c r="G1657" s="6"/>
      <c r="J1657" s="7"/>
      <c r="K1657" s="6"/>
      <c r="R1657" s="7"/>
    </row>
    <row r="1658" ht="22.5" customHeight="1">
      <c r="A1658" s="6">
        <v>1657.0</v>
      </c>
      <c r="B1658" s="6"/>
      <c r="F1658" s="6"/>
      <c r="G1658" s="6"/>
      <c r="J1658" s="7"/>
      <c r="K1658" s="6"/>
      <c r="R1658" s="7"/>
    </row>
    <row r="1659" ht="22.5" customHeight="1">
      <c r="A1659" s="6">
        <v>1658.0</v>
      </c>
      <c r="B1659" s="6"/>
      <c r="F1659" s="6"/>
      <c r="G1659" s="6"/>
      <c r="J1659" s="7"/>
      <c r="K1659" s="6"/>
      <c r="R1659" s="7"/>
    </row>
    <row r="1660" ht="22.5" customHeight="1">
      <c r="A1660" s="6">
        <v>1659.0</v>
      </c>
      <c r="B1660" s="6"/>
      <c r="F1660" s="6"/>
      <c r="G1660" s="6"/>
      <c r="J1660" s="7"/>
      <c r="K1660" s="6"/>
      <c r="R1660" s="7"/>
    </row>
    <row r="1661" ht="22.5" customHeight="1">
      <c r="A1661" s="6">
        <v>1660.0</v>
      </c>
      <c r="B1661" s="6"/>
      <c r="F1661" s="6"/>
      <c r="G1661" s="6"/>
      <c r="J1661" s="7"/>
      <c r="K1661" s="6"/>
      <c r="R1661" s="7"/>
    </row>
    <row r="1662" ht="22.5" customHeight="1">
      <c r="A1662" s="6">
        <v>1661.0</v>
      </c>
      <c r="B1662" s="6"/>
      <c r="F1662" s="6"/>
      <c r="G1662" s="6"/>
      <c r="J1662" s="7"/>
      <c r="K1662" s="6"/>
      <c r="R1662" s="7"/>
    </row>
    <row r="1663" ht="22.5" customHeight="1">
      <c r="A1663" s="6">
        <v>1662.0</v>
      </c>
      <c r="B1663" s="6"/>
      <c r="F1663" s="6"/>
      <c r="G1663" s="6"/>
      <c r="J1663" s="7"/>
      <c r="K1663" s="6"/>
      <c r="R1663" s="7"/>
    </row>
    <row r="1664" ht="22.5" customHeight="1">
      <c r="A1664" s="6">
        <v>1663.0</v>
      </c>
      <c r="B1664" s="6"/>
      <c r="F1664" s="6"/>
      <c r="G1664" s="6"/>
      <c r="J1664" s="7"/>
      <c r="K1664" s="6"/>
      <c r="R1664" s="7"/>
    </row>
    <row r="1665" ht="22.5" customHeight="1">
      <c r="A1665" s="6">
        <v>1664.0</v>
      </c>
      <c r="B1665" s="6"/>
      <c r="F1665" s="6"/>
      <c r="G1665" s="6"/>
      <c r="J1665" s="7"/>
      <c r="K1665" s="6"/>
      <c r="R1665" s="7"/>
    </row>
    <row r="1666" ht="22.5" customHeight="1">
      <c r="A1666" s="6">
        <v>1665.0</v>
      </c>
      <c r="B1666" s="6"/>
      <c r="F1666" s="6"/>
      <c r="G1666" s="6"/>
      <c r="J1666" s="7"/>
      <c r="K1666" s="6"/>
      <c r="R1666" s="7"/>
    </row>
    <row r="1667" ht="22.5" customHeight="1">
      <c r="A1667" s="6">
        <v>1666.0</v>
      </c>
      <c r="B1667" s="6"/>
      <c r="F1667" s="6"/>
      <c r="G1667" s="6"/>
      <c r="J1667" s="7"/>
      <c r="K1667" s="6"/>
      <c r="R1667" s="7"/>
    </row>
    <row r="1668" ht="22.5" customHeight="1">
      <c r="A1668" s="6">
        <v>1667.0</v>
      </c>
      <c r="B1668" s="6"/>
      <c r="F1668" s="6"/>
      <c r="G1668" s="6"/>
      <c r="J1668" s="7"/>
      <c r="K1668" s="6"/>
      <c r="R1668" s="7"/>
    </row>
    <row r="1669" ht="22.5" customHeight="1">
      <c r="A1669" s="6">
        <v>1668.0</v>
      </c>
      <c r="B1669" s="6"/>
      <c r="F1669" s="6"/>
      <c r="G1669" s="6"/>
      <c r="J1669" s="7"/>
      <c r="K1669" s="6"/>
      <c r="R1669" s="7"/>
    </row>
    <row r="1670" ht="22.5" customHeight="1">
      <c r="A1670" s="6">
        <v>1669.0</v>
      </c>
      <c r="B1670" s="6"/>
      <c r="F1670" s="6"/>
      <c r="G1670" s="6"/>
      <c r="J1670" s="7"/>
      <c r="K1670" s="6"/>
      <c r="R1670" s="7"/>
    </row>
    <row r="1671" ht="22.5" customHeight="1">
      <c r="A1671" s="6">
        <v>1670.0</v>
      </c>
      <c r="B1671" s="6"/>
      <c r="F1671" s="6"/>
      <c r="G1671" s="6"/>
      <c r="J1671" s="7"/>
      <c r="K1671" s="6"/>
      <c r="R1671" s="7"/>
    </row>
    <row r="1672" ht="22.5" customHeight="1">
      <c r="A1672" s="6">
        <v>1671.0</v>
      </c>
      <c r="B1672" s="6"/>
      <c r="F1672" s="6"/>
      <c r="G1672" s="6"/>
      <c r="J1672" s="7"/>
      <c r="K1672" s="6"/>
      <c r="R1672" s="7"/>
    </row>
    <row r="1673" ht="22.5" customHeight="1">
      <c r="A1673" s="6">
        <v>1672.0</v>
      </c>
      <c r="B1673" s="6"/>
      <c r="F1673" s="6"/>
      <c r="G1673" s="6"/>
      <c r="J1673" s="7"/>
      <c r="K1673" s="6"/>
      <c r="R1673" s="7"/>
    </row>
    <row r="1674" ht="22.5" customHeight="1">
      <c r="A1674" s="6">
        <v>1673.0</v>
      </c>
      <c r="B1674" s="6"/>
      <c r="F1674" s="6"/>
      <c r="G1674" s="6"/>
      <c r="J1674" s="7"/>
      <c r="K1674" s="6"/>
      <c r="R1674" s="7"/>
    </row>
    <row r="1675" ht="22.5" customHeight="1">
      <c r="A1675" s="6">
        <v>1674.0</v>
      </c>
      <c r="B1675" s="6"/>
      <c r="F1675" s="6"/>
      <c r="G1675" s="6"/>
      <c r="J1675" s="7"/>
      <c r="K1675" s="6"/>
      <c r="R1675" s="7"/>
    </row>
    <row r="1676" ht="22.5" customHeight="1">
      <c r="A1676" s="6">
        <v>1675.0</v>
      </c>
      <c r="B1676" s="6"/>
      <c r="F1676" s="6"/>
      <c r="G1676" s="6"/>
      <c r="J1676" s="7"/>
      <c r="K1676" s="6"/>
      <c r="R1676" s="7"/>
    </row>
    <row r="1677" ht="22.5" customHeight="1">
      <c r="A1677" s="6">
        <v>1676.0</v>
      </c>
      <c r="B1677" s="6"/>
      <c r="F1677" s="6"/>
      <c r="G1677" s="6"/>
      <c r="J1677" s="7"/>
      <c r="K1677" s="6"/>
      <c r="R1677" s="7"/>
    </row>
    <row r="1678" ht="22.5" customHeight="1">
      <c r="A1678" s="6">
        <v>1677.0</v>
      </c>
      <c r="B1678" s="6"/>
      <c r="F1678" s="6"/>
      <c r="G1678" s="6"/>
      <c r="J1678" s="7"/>
      <c r="K1678" s="6"/>
      <c r="R1678" s="7"/>
    </row>
    <row r="1679" ht="22.5" customHeight="1">
      <c r="A1679" s="6">
        <v>1678.0</v>
      </c>
      <c r="B1679" s="6"/>
      <c r="F1679" s="6"/>
      <c r="G1679" s="6"/>
      <c r="J1679" s="7"/>
      <c r="K1679" s="6"/>
      <c r="R1679" s="7"/>
    </row>
    <row r="1680" ht="22.5" customHeight="1">
      <c r="A1680" s="6">
        <v>1679.0</v>
      </c>
      <c r="B1680" s="6"/>
      <c r="F1680" s="6"/>
      <c r="G1680" s="6"/>
      <c r="J1680" s="7"/>
      <c r="K1680" s="6"/>
      <c r="R1680" s="7"/>
    </row>
    <row r="1681" ht="22.5" customHeight="1">
      <c r="A1681" s="6">
        <v>1680.0</v>
      </c>
      <c r="B1681" s="6"/>
      <c r="F1681" s="6"/>
      <c r="G1681" s="6"/>
      <c r="J1681" s="7"/>
      <c r="K1681" s="6"/>
      <c r="R1681" s="7"/>
    </row>
    <row r="1682" ht="22.5" customHeight="1">
      <c r="A1682" s="6">
        <v>1681.0</v>
      </c>
      <c r="B1682" s="6"/>
      <c r="F1682" s="6"/>
      <c r="G1682" s="6"/>
      <c r="J1682" s="7"/>
      <c r="K1682" s="6"/>
      <c r="R1682" s="7"/>
    </row>
    <row r="1683" ht="22.5" customHeight="1">
      <c r="A1683" s="6">
        <v>1682.0</v>
      </c>
      <c r="B1683" s="6"/>
      <c r="F1683" s="6"/>
      <c r="G1683" s="6"/>
      <c r="J1683" s="7"/>
      <c r="K1683" s="6"/>
      <c r="R1683" s="7"/>
    </row>
    <row r="1684" ht="22.5" customHeight="1">
      <c r="A1684" s="6">
        <v>1683.0</v>
      </c>
      <c r="B1684" s="6"/>
      <c r="F1684" s="6"/>
      <c r="G1684" s="6"/>
      <c r="J1684" s="7"/>
      <c r="K1684" s="6"/>
      <c r="R1684" s="7"/>
    </row>
    <row r="1685" ht="22.5" customHeight="1">
      <c r="A1685" s="6">
        <v>1684.0</v>
      </c>
      <c r="B1685" s="6"/>
      <c r="F1685" s="6"/>
      <c r="G1685" s="6"/>
      <c r="J1685" s="7"/>
      <c r="K1685" s="6"/>
      <c r="R1685" s="7"/>
    </row>
    <row r="1686" ht="22.5" customHeight="1">
      <c r="A1686" s="6">
        <v>1685.0</v>
      </c>
      <c r="B1686" s="6"/>
      <c r="F1686" s="6"/>
      <c r="G1686" s="6"/>
      <c r="J1686" s="7"/>
      <c r="K1686" s="6"/>
      <c r="R1686" s="7"/>
    </row>
    <row r="1687" ht="22.5" customHeight="1">
      <c r="A1687" s="6">
        <v>1686.0</v>
      </c>
      <c r="B1687" s="6"/>
      <c r="F1687" s="6"/>
      <c r="G1687" s="6"/>
      <c r="J1687" s="7"/>
      <c r="K1687" s="6"/>
      <c r="R1687" s="7"/>
    </row>
    <row r="1688" ht="22.5" customHeight="1">
      <c r="A1688" s="6">
        <v>1687.0</v>
      </c>
      <c r="B1688" s="6"/>
      <c r="F1688" s="6"/>
      <c r="G1688" s="6"/>
      <c r="J1688" s="7"/>
      <c r="K1688" s="6"/>
      <c r="R1688" s="7"/>
    </row>
    <row r="1689" ht="22.5" customHeight="1">
      <c r="A1689" s="6">
        <v>1688.0</v>
      </c>
      <c r="B1689" s="6"/>
      <c r="F1689" s="6"/>
      <c r="G1689" s="6"/>
      <c r="J1689" s="7"/>
      <c r="K1689" s="6"/>
      <c r="R1689" s="7"/>
    </row>
    <row r="1690" ht="22.5" customHeight="1">
      <c r="A1690" s="6">
        <v>1689.0</v>
      </c>
      <c r="B1690" s="6"/>
      <c r="F1690" s="6"/>
      <c r="G1690" s="6"/>
      <c r="J1690" s="7"/>
      <c r="K1690" s="6"/>
      <c r="R1690" s="7"/>
    </row>
    <row r="1691" ht="22.5" customHeight="1">
      <c r="A1691" s="6">
        <v>1690.0</v>
      </c>
      <c r="B1691" s="6"/>
      <c r="F1691" s="6"/>
      <c r="G1691" s="6"/>
      <c r="J1691" s="7"/>
      <c r="K1691" s="6"/>
      <c r="R1691" s="7"/>
    </row>
    <row r="1692" ht="22.5" customHeight="1">
      <c r="A1692" s="6">
        <v>1691.0</v>
      </c>
      <c r="B1692" s="6"/>
      <c r="F1692" s="6"/>
      <c r="G1692" s="6"/>
      <c r="J1692" s="7"/>
      <c r="K1692" s="6"/>
      <c r="R1692" s="7"/>
    </row>
    <row r="1693" ht="22.5" customHeight="1">
      <c r="A1693" s="6">
        <v>1692.0</v>
      </c>
      <c r="B1693" s="6"/>
      <c r="F1693" s="6"/>
      <c r="G1693" s="6"/>
      <c r="J1693" s="7"/>
      <c r="K1693" s="6"/>
      <c r="R1693" s="7"/>
    </row>
    <row r="1694" ht="22.5" customHeight="1">
      <c r="A1694" s="6">
        <v>1693.0</v>
      </c>
      <c r="B1694" s="6"/>
      <c r="F1694" s="6"/>
      <c r="G1694" s="6"/>
      <c r="J1694" s="7"/>
      <c r="K1694" s="6"/>
      <c r="R1694" s="7"/>
    </row>
    <row r="1695" ht="22.5" customHeight="1">
      <c r="A1695" s="6">
        <v>1694.0</v>
      </c>
      <c r="B1695" s="6"/>
      <c r="F1695" s="6"/>
      <c r="G1695" s="6"/>
      <c r="J1695" s="7"/>
      <c r="K1695" s="6"/>
      <c r="R1695" s="7"/>
    </row>
    <row r="1696" ht="22.5" customHeight="1">
      <c r="A1696" s="6">
        <v>1695.0</v>
      </c>
      <c r="B1696" s="6"/>
      <c r="F1696" s="6"/>
      <c r="G1696" s="6"/>
      <c r="J1696" s="7"/>
      <c r="K1696" s="6"/>
      <c r="R1696" s="7"/>
    </row>
    <row r="1697" ht="22.5" customHeight="1">
      <c r="A1697" s="6">
        <v>1696.0</v>
      </c>
      <c r="B1697" s="6"/>
      <c r="F1697" s="6"/>
      <c r="G1697" s="6"/>
      <c r="J1697" s="7"/>
      <c r="K1697" s="6"/>
      <c r="R1697" s="7"/>
    </row>
    <row r="1698" ht="22.5" customHeight="1">
      <c r="A1698" s="6">
        <v>1697.0</v>
      </c>
      <c r="B1698" s="6"/>
      <c r="F1698" s="6"/>
      <c r="G1698" s="6"/>
      <c r="J1698" s="7"/>
      <c r="K1698" s="6"/>
      <c r="R1698" s="7"/>
    </row>
    <row r="1699" ht="22.5" customHeight="1">
      <c r="A1699" s="6">
        <v>1698.0</v>
      </c>
      <c r="B1699" s="6"/>
      <c r="F1699" s="6"/>
      <c r="G1699" s="6"/>
      <c r="J1699" s="7"/>
      <c r="K1699" s="6"/>
      <c r="R1699" s="7"/>
    </row>
    <row r="1700" ht="22.5" customHeight="1">
      <c r="A1700" s="6">
        <v>1699.0</v>
      </c>
      <c r="B1700" s="6"/>
      <c r="F1700" s="6"/>
      <c r="G1700" s="6"/>
      <c r="J1700" s="7"/>
      <c r="K1700" s="6"/>
      <c r="R1700" s="7"/>
    </row>
    <row r="1701" ht="22.5" customHeight="1">
      <c r="A1701" s="6">
        <v>1700.0</v>
      </c>
      <c r="B1701" s="6"/>
      <c r="F1701" s="6"/>
      <c r="G1701" s="6"/>
      <c r="J1701" s="7"/>
      <c r="K1701" s="6"/>
      <c r="R1701" s="7"/>
    </row>
    <row r="1702" ht="22.5" customHeight="1">
      <c r="A1702" s="6">
        <v>1701.0</v>
      </c>
      <c r="B1702" s="6"/>
      <c r="F1702" s="6"/>
      <c r="G1702" s="6"/>
      <c r="J1702" s="7"/>
      <c r="K1702" s="6"/>
      <c r="R1702" s="7"/>
    </row>
    <row r="1703" ht="22.5" customHeight="1">
      <c r="A1703" s="6">
        <v>1702.0</v>
      </c>
      <c r="B1703" s="6"/>
      <c r="F1703" s="6"/>
      <c r="G1703" s="6"/>
      <c r="J1703" s="7"/>
      <c r="K1703" s="6"/>
      <c r="R1703" s="7"/>
    </row>
    <row r="1704" ht="22.5" customHeight="1">
      <c r="A1704" s="6">
        <v>1703.0</v>
      </c>
      <c r="B1704" s="6"/>
      <c r="F1704" s="6"/>
      <c r="G1704" s="6"/>
      <c r="J1704" s="7"/>
      <c r="K1704" s="6"/>
      <c r="R1704" s="7"/>
    </row>
    <row r="1705" ht="22.5" customHeight="1">
      <c r="A1705" s="6">
        <v>1704.0</v>
      </c>
      <c r="B1705" s="6"/>
      <c r="F1705" s="6"/>
      <c r="G1705" s="6"/>
      <c r="J1705" s="7"/>
      <c r="K1705" s="6"/>
      <c r="R1705" s="7"/>
    </row>
    <row r="1706" ht="22.5" customHeight="1">
      <c r="A1706" s="6">
        <v>1705.0</v>
      </c>
      <c r="B1706" s="6"/>
      <c r="F1706" s="6"/>
      <c r="G1706" s="6"/>
      <c r="J1706" s="7"/>
      <c r="K1706" s="6"/>
      <c r="R1706" s="7"/>
    </row>
    <row r="1707" ht="22.5" customHeight="1">
      <c r="A1707" s="6">
        <v>1706.0</v>
      </c>
      <c r="B1707" s="6"/>
      <c r="F1707" s="6"/>
      <c r="G1707" s="6"/>
      <c r="J1707" s="7"/>
      <c r="K1707" s="6"/>
      <c r="R1707" s="7"/>
    </row>
    <row r="1708" ht="22.5" customHeight="1">
      <c r="A1708" s="6">
        <v>1707.0</v>
      </c>
      <c r="B1708" s="6"/>
      <c r="F1708" s="6"/>
      <c r="G1708" s="6"/>
      <c r="J1708" s="7"/>
      <c r="K1708" s="6"/>
      <c r="R1708" s="7"/>
    </row>
    <row r="1709" ht="22.5" customHeight="1">
      <c r="A1709" s="6">
        <v>1708.0</v>
      </c>
      <c r="B1709" s="6"/>
      <c r="F1709" s="6"/>
      <c r="G1709" s="6"/>
      <c r="J1709" s="7"/>
      <c r="K1709" s="6"/>
      <c r="R1709" s="7"/>
    </row>
    <row r="1710" ht="22.5" customHeight="1">
      <c r="A1710" s="6">
        <v>1709.0</v>
      </c>
      <c r="B1710" s="6"/>
      <c r="F1710" s="6"/>
      <c r="G1710" s="6"/>
      <c r="J1710" s="7"/>
      <c r="K1710" s="6"/>
      <c r="R1710" s="7"/>
    </row>
    <row r="1711" ht="22.5" customHeight="1">
      <c r="A1711" s="6">
        <v>1710.0</v>
      </c>
      <c r="B1711" s="6"/>
      <c r="F1711" s="6"/>
      <c r="G1711" s="6"/>
      <c r="J1711" s="7"/>
      <c r="K1711" s="6"/>
      <c r="R1711" s="7"/>
    </row>
    <row r="1712" ht="22.5" customHeight="1">
      <c r="A1712" s="6">
        <v>1711.0</v>
      </c>
      <c r="B1712" s="6"/>
      <c r="F1712" s="6"/>
      <c r="G1712" s="6"/>
      <c r="J1712" s="7"/>
      <c r="K1712" s="6"/>
      <c r="R1712" s="7"/>
    </row>
    <row r="1713" ht="22.5" customHeight="1">
      <c r="A1713" s="6">
        <v>1712.0</v>
      </c>
      <c r="B1713" s="6"/>
      <c r="F1713" s="6"/>
      <c r="G1713" s="6"/>
      <c r="J1713" s="7"/>
      <c r="K1713" s="6"/>
      <c r="R1713" s="7"/>
    </row>
    <row r="1714" ht="22.5" customHeight="1">
      <c r="A1714" s="6">
        <v>1713.0</v>
      </c>
      <c r="B1714" s="6"/>
      <c r="F1714" s="6"/>
      <c r="G1714" s="6"/>
      <c r="J1714" s="7"/>
      <c r="K1714" s="6"/>
      <c r="R1714" s="7"/>
    </row>
    <row r="1715" ht="22.5" customHeight="1">
      <c r="A1715" s="6">
        <v>1714.0</v>
      </c>
      <c r="B1715" s="6"/>
      <c r="F1715" s="6"/>
      <c r="G1715" s="6"/>
      <c r="J1715" s="7"/>
      <c r="K1715" s="6"/>
      <c r="R1715" s="7"/>
    </row>
    <row r="1716" ht="22.5" customHeight="1">
      <c r="A1716" s="6">
        <v>1715.0</v>
      </c>
      <c r="B1716" s="6"/>
      <c r="F1716" s="6"/>
      <c r="G1716" s="6"/>
      <c r="J1716" s="7"/>
      <c r="K1716" s="6"/>
      <c r="R1716" s="7"/>
    </row>
    <row r="1717" ht="22.5" customHeight="1">
      <c r="A1717" s="6">
        <v>1716.0</v>
      </c>
      <c r="B1717" s="6"/>
      <c r="F1717" s="6"/>
      <c r="G1717" s="6"/>
      <c r="J1717" s="7"/>
      <c r="K1717" s="6"/>
      <c r="R1717" s="7"/>
    </row>
    <row r="1718" ht="22.5" customHeight="1">
      <c r="A1718" s="6">
        <v>1717.0</v>
      </c>
      <c r="B1718" s="6"/>
      <c r="F1718" s="6"/>
      <c r="G1718" s="6"/>
      <c r="J1718" s="7"/>
      <c r="K1718" s="6"/>
      <c r="R1718" s="7"/>
    </row>
    <row r="1719" ht="22.5" customHeight="1">
      <c r="A1719" s="6">
        <v>1718.0</v>
      </c>
      <c r="B1719" s="6"/>
      <c r="F1719" s="6"/>
      <c r="G1719" s="6"/>
      <c r="J1719" s="7"/>
      <c r="K1719" s="6"/>
      <c r="R1719" s="7"/>
    </row>
    <row r="1720" ht="22.5" customHeight="1">
      <c r="A1720" s="6">
        <v>1719.0</v>
      </c>
      <c r="B1720" s="6"/>
      <c r="F1720" s="6"/>
      <c r="G1720" s="6"/>
      <c r="J1720" s="7"/>
      <c r="K1720" s="6"/>
      <c r="R1720" s="7"/>
    </row>
    <row r="1721" ht="22.5" customHeight="1">
      <c r="A1721" s="6">
        <v>1720.0</v>
      </c>
      <c r="B1721" s="6"/>
      <c r="F1721" s="6"/>
      <c r="G1721" s="6"/>
      <c r="J1721" s="7"/>
      <c r="K1721" s="6"/>
      <c r="R1721" s="7"/>
    </row>
    <row r="1722" ht="22.5" customHeight="1">
      <c r="A1722" s="6">
        <v>1721.0</v>
      </c>
      <c r="B1722" s="6"/>
      <c r="F1722" s="6"/>
      <c r="G1722" s="6"/>
      <c r="J1722" s="7"/>
      <c r="K1722" s="6"/>
      <c r="R1722" s="7"/>
    </row>
    <row r="1723" ht="22.5" customHeight="1">
      <c r="A1723" s="6">
        <v>1722.0</v>
      </c>
      <c r="B1723" s="6"/>
      <c r="F1723" s="6"/>
      <c r="G1723" s="6"/>
      <c r="J1723" s="7"/>
      <c r="K1723" s="6"/>
      <c r="R1723" s="7"/>
    </row>
    <row r="1724" ht="22.5" customHeight="1">
      <c r="A1724" s="6">
        <v>1723.0</v>
      </c>
      <c r="B1724" s="6"/>
      <c r="F1724" s="6"/>
      <c r="G1724" s="6"/>
      <c r="J1724" s="7"/>
      <c r="K1724" s="6"/>
      <c r="R1724" s="7"/>
    </row>
    <row r="1725" ht="22.5" customHeight="1">
      <c r="A1725" s="6">
        <v>1724.0</v>
      </c>
      <c r="B1725" s="6"/>
      <c r="F1725" s="6"/>
      <c r="G1725" s="6"/>
      <c r="J1725" s="7"/>
      <c r="K1725" s="6"/>
      <c r="R1725" s="7"/>
    </row>
    <row r="1726" ht="22.5" customHeight="1">
      <c r="A1726" s="6">
        <v>1725.0</v>
      </c>
      <c r="B1726" s="6"/>
      <c r="F1726" s="6"/>
      <c r="G1726" s="6"/>
      <c r="J1726" s="7"/>
      <c r="K1726" s="6"/>
      <c r="R1726" s="7"/>
    </row>
    <row r="1727" ht="22.5" customHeight="1">
      <c r="A1727" s="6">
        <v>1726.0</v>
      </c>
      <c r="B1727" s="6"/>
      <c r="F1727" s="6"/>
      <c r="G1727" s="6"/>
      <c r="J1727" s="7"/>
      <c r="K1727" s="6"/>
      <c r="R1727" s="7"/>
    </row>
    <row r="1728" ht="22.5" customHeight="1">
      <c r="A1728" s="6">
        <v>1727.0</v>
      </c>
      <c r="B1728" s="6"/>
      <c r="F1728" s="6"/>
      <c r="G1728" s="6"/>
      <c r="J1728" s="7"/>
      <c r="K1728" s="6"/>
      <c r="R1728" s="7"/>
    </row>
    <row r="1729">
      <c r="A1729" s="14">
        <v>1728.0</v>
      </c>
      <c r="B1729" s="14"/>
      <c r="F1729" s="14"/>
      <c r="G1729" s="14"/>
      <c r="J1729" s="15"/>
      <c r="K1729" s="14"/>
      <c r="R1729" s="15"/>
    </row>
    <row r="1730">
      <c r="B1730" s="14"/>
      <c r="F1730" s="14"/>
      <c r="G1730" s="14"/>
      <c r="J1730" s="15"/>
      <c r="K1730" s="14"/>
      <c r="R1730" s="15"/>
    </row>
    <row r="1731">
      <c r="B1731" s="14"/>
      <c r="F1731" s="14"/>
      <c r="G1731" s="14"/>
      <c r="J1731" s="15"/>
      <c r="K1731" s="14"/>
      <c r="R1731" s="15"/>
    </row>
    <row r="1732">
      <c r="B1732" s="14"/>
      <c r="F1732" s="14"/>
      <c r="G1732" s="14"/>
      <c r="J1732" s="15"/>
      <c r="K1732" s="14"/>
      <c r="R1732" s="15"/>
    </row>
    <row r="1733">
      <c r="B1733" s="14"/>
      <c r="F1733" s="14"/>
      <c r="G1733" s="14"/>
      <c r="J1733" s="15"/>
      <c r="K1733" s="14"/>
      <c r="R1733" s="15"/>
    </row>
    <row r="1734">
      <c r="B1734" s="14"/>
      <c r="F1734" s="14"/>
      <c r="G1734" s="14"/>
      <c r="J1734" s="15"/>
      <c r="K1734" s="14"/>
      <c r="R1734" s="15"/>
    </row>
    <row r="1735">
      <c r="B1735" s="14"/>
      <c r="F1735" s="14"/>
      <c r="G1735" s="14"/>
      <c r="J1735" s="15"/>
      <c r="K1735" s="14"/>
      <c r="R1735" s="15"/>
    </row>
    <row r="1736">
      <c r="B1736" s="14"/>
      <c r="F1736" s="14"/>
      <c r="G1736" s="14"/>
      <c r="J1736" s="15"/>
      <c r="K1736" s="14"/>
      <c r="R1736" s="15"/>
    </row>
    <row r="1737">
      <c r="B1737" s="14"/>
      <c r="F1737" s="14"/>
      <c r="G1737" s="14"/>
      <c r="J1737" s="15"/>
      <c r="K1737" s="14"/>
      <c r="R1737" s="15"/>
    </row>
    <row r="1738">
      <c r="B1738" s="14"/>
      <c r="F1738" s="14"/>
      <c r="G1738" s="14"/>
      <c r="J1738" s="15"/>
      <c r="K1738" s="14"/>
      <c r="R1738" s="15"/>
    </row>
    <row r="1739">
      <c r="B1739" s="14"/>
      <c r="F1739" s="14"/>
      <c r="G1739" s="14"/>
      <c r="J1739" s="15"/>
      <c r="K1739" s="14"/>
      <c r="R1739" s="15"/>
    </row>
    <row r="1740">
      <c r="B1740" s="14"/>
      <c r="F1740" s="14"/>
      <c r="G1740" s="14"/>
      <c r="J1740" s="15"/>
      <c r="K1740" s="14"/>
      <c r="R1740" s="15"/>
    </row>
    <row r="1741">
      <c r="B1741" s="14"/>
      <c r="F1741" s="14"/>
      <c r="G1741" s="14"/>
      <c r="J1741" s="15"/>
      <c r="K1741" s="14"/>
      <c r="R1741" s="15"/>
    </row>
    <row r="1742">
      <c r="B1742" s="14"/>
      <c r="F1742" s="14"/>
      <c r="G1742" s="14"/>
      <c r="J1742" s="15"/>
      <c r="K1742" s="14"/>
      <c r="R1742" s="15"/>
    </row>
    <row r="1743">
      <c r="B1743" s="14"/>
      <c r="F1743" s="14"/>
      <c r="G1743" s="14"/>
      <c r="J1743" s="15"/>
      <c r="K1743" s="14"/>
      <c r="R1743" s="15"/>
    </row>
    <row r="1744">
      <c r="B1744" s="14"/>
      <c r="F1744" s="14"/>
      <c r="G1744" s="14"/>
      <c r="J1744" s="15"/>
      <c r="K1744" s="14"/>
      <c r="R1744" s="15"/>
    </row>
    <row r="1745">
      <c r="B1745" s="14"/>
      <c r="F1745" s="14"/>
      <c r="G1745" s="14"/>
      <c r="J1745" s="15"/>
      <c r="K1745" s="14"/>
      <c r="R1745" s="15"/>
    </row>
    <row r="1746">
      <c r="B1746" s="14"/>
      <c r="F1746" s="14"/>
      <c r="G1746" s="14"/>
      <c r="J1746" s="15"/>
      <c r="K1746" s="14"/>
      <c r="R1746" s="15"/>
    </row>
    <row r="1747">
      <c r="B1747" s="14"/>
      <c r="F1747" s="14"/>
      <c r="G1747" s="14"/>
      <c r="J1747" s="15"/>
      <c r="K1747" s="14"/>
      <c r="R1747" s="15"/>
    </row>
    <row r="1748">
      <c r="B1748" s="14"/>
      <c r="F1748" s="14"/>
      <c r="G1748" s="14"/>
      <c r="J1748" s="15"/>
      <c r="K1748" s="14"/>
      <c r="R1748" s="15"/>
    </row>
    <row r="1749">
      <c r="B1749" s="14"/>
      <c r="F1749" s="14"/>
      <c r="G1749" s="14"/>
      <c r="J1749" s="15"/>
      <c r="K1749" s="14"/>
      <c r="R1749" s="15"/>
    </row>
    <row r="1750">
      <c r="B1750" s="14"/>
      <c r="F1750" s="14"/>
      <c r="G1750" s="14"/>
      <c r="J1750" s="15"/>
      <c r="K1750" s="14"/>
      <c r="R1750" s="15"/>
    </row>
    <row r="1751">
      <c r="B1751" s="14"/>
      <c r="F1751" s="14"/>
      <c r="G1751" s="14"/>
      <c r="J1751" s="15"/>
      <c r="K1751" s="14"/>
      <c r="R1751" s="15"/>
    </row>
    <row r="1752">
      <c r="B1752" s="14"/>
      <c r="F1752" s="14"/>
      <c r="G1752" s="14"/>
      <c r="J1752" s="15"/>
      <c r="K1752" s="14"/>
      <c r="R1752" s="15"/>
    </row>
    <row r="1753">
      <c r="B1753" s="14"/>
      <c r="F1753" s="14"/>
      <c r="G1753" s="14"/>
      <c r="J1753" s="15"/>
      <c r="K1753" s="14"/>
      <c r="R1753" s="15"/>
    </row>
    <row r="1754">
      <c r="B1754" s="14"/>
      <c r="F1754" s="14"/>
      <c r="G1754" s="14"/>
      <c r="J1754" s="15"/>
      <c r="K1754" s="14"/>
      <c r="R1754" s="15"/>
    </row>
    <row r="1755">
      <c r="B1755" s="14"/>
      <c r="F1755" s="14"/>
      <c r="G1755" s="14"/>
      <c r="J1755" s="15"/>
      <c r="K1755" s="14"/>
      <c r="R1755" s="15"/>
    </row>
    <row r="1756">
      <c r="B1756" s="14"/>
      <c r="F1756" s="14"/>
      <c r="G1756" s="14"/>
      <c r="J1756" s="15"/>
      <c r="K1756" s="14"/>
      <c r="R1756" s="15"/>
    </row>
    <row r="1757">
      <c r="B1757" s="14"/>
      <c r="F1757" s="14"/>
      <c r="G1757" s="14"/>
      <c r="J1757" s="15"/>
      <c r="K1757" s="14"/>
      <c r="R1757" s="15"/>
    </row>
    <row r="1758">
      <c r="B1758" s="14"/>
      <c r="F1758" s="14"/>
      <c r="G1758" s="14"/>
      <c r="J1758" s="15"/>
      <c r="K1758" s="14"/>
      <c r="R1758" s="15"/>
    </row>
    <row r="1759">
      <c r="B1759" s="14"/>
      <c r="F1759" s="14"/>
      <c r="G1759" s="14"/>
      <c r="J1759" s="15"/>
      <c r="K1759" s="14"/>
      <c r="R1759" s="15"/>
    </row>
    <row r="1760">
      <c r="B1760" s="14"/>
      <c r="F1760" s="14"/>
      <c r="G1760" s="14"/>
      <c r="J1760" s="15"/>
      <c r="K1760" s="14"/>
      <c r="R1760" s="15"/>
    </row>
    <row r="1761">
      <c r="B1761" s="14"/>
      <c r="F1761" s="14"/>
      <c r="G1761" s="14"/>
      <c r="J1761" s="15"/>
      <c r="K1761" s="14"/>
      <c r="R1761" s="15"/>
    </row>
    <row r="1762">
      <c r="B1762" s="14"/>
      <c r="F1762" s="14"/>
      <c r="G1762" s="14"/>
      <c r="J1762" s="15"/>
      <c r="K1762" s="14"/>
      <c r="R1762" s="15"/>
    </row>
    <row r="1763">
      <c r="B1763" s="14"/>
      <c r="F1763" s="14"/>
      <c r="G1763" s="14"/>
      <c r="J1763" s="15"/>
      <c r="K1763" s="14"/>
      <c r="R1763" s="15"/>
    </row>
    <row r="1764">
      <c r="B1764" s="14"/>
      <c r="F1764" s="14"/>
      <c r="G1764" s="14"/>
      <c r="J1764" s="15"/>
      <c r="K1764" s="14"/>
      <c r="R1764" s="15"/>
    </row>
    <row r="1765">
      <c r="B1765" s="14"/>
      <c r="F1765" s="14"/>
      <c r="G1765" s="14"/>
      <c r="J1765" s="15"/>
      <c r="K1765" s="14"/>
      <c r="R1765" s="15"/>
    </row>
    <row r="1766">
      <c r="B1766" s="14"/>
      <c r="F1766" s="14"/>
      <c r="G1766" s="14"/>
      <c r="J1766" s="15"/>
      <c r="K1766" s="14"/>
      <c r="R1766" s="15"/>
    </row>
    <row r="1767">
      <c r="B1767" s="14"/>
      <c r="F1767" s="14"/>
      <c r="G1767" s="14"/>
      <c r="J1767" s="15"/>
      <c r="K1767" s="14"/>
      <c r="R1767" s="15"/>
    </row>
    <row r="1768">
      <c r="B1768" s="14"/>
      <c r="F1768" s="14"/>
      <c r="G1768" s="14"/>
      <c r="J1768" s="15"/>
      <c r="K1768" s="14"/>
      <c r="R1768" s="15"/>
    </row>
    <row r="1769">
      <c r="B1769" s="14"/>
      <c r="F1769" s="14"/>
      <c r="G1769" s="14"/>
      <c r="J1769" s="15"/>
      <c r="K1769" s="14"/>
      <c r="R1769" s="15"/>
    </row>
    <row r="1770">
      <c r="B1770" s="14"/>
      <c r="F1770" s="14"/>
      <c r="G1770" s="14"/>
      <c r="J1770" s="15"/>
      <c r="K1770" s="14"/>
      <c r="R1770" s="15"/>
    </row>
    <row r="1771">
      <c r="B1771" s="14"/>
      <c r="F1771" s="14"/>
      <c r="G1771" s="14"/>
      <c r="J1771" s="15"/>
      <c r="K1771" s="14"/>
      <c r="R1771" s="15"/>
    </row>
    <row r="1772">
      <c r="B1772" s="14"/>
      <c r="F1772" s="14"/>
      <c r="G1772" s="14"/>
      <c r="J1772" s="15"/>
      <c r="K1772" s="14"/>
      <c r="R1772" s="15"/>
    </row>
    <row r="1773">
      <c r="B1773" s="14"/>
      <c r="F1773" s="14"/>
      <c r="G1773" s="14"/>
      <c r="J1773" s="15"/>
      <c r="K1773" s="14"/>
      <c r="R1773" s="15"/>
    </row>
    <row r="1774">
      <c r="B1774" s="14"/>
      <c r="F1774" s="14"/>
      <c r="G1774" s="14"/>
      <c r="J1774" s="15"/>
      <c r="K1774" s="14"/>
      <c r="R1774" s="15"/>
    </row>
    <row r="1775">
      <c r="B1775" s="14"/>
      <c r="F1775" s="14"/>
      <c r="G1775" s="14"/>
      <c r="J1775" s="15"/>
      <c r="K1775" s="14"/>
      <c r="R1775" s="15"/>
    </row>
    <row r="1776">
      <c r="B1776" s="14"/>
      <c r="F1776" s="14"/>
      <c r="G1776" s="14"/>
      <c r="J1776" s="15"/>
      <c r="K1776" s="14"/>
      <c r="R1776" s="15"/>
    </row>
    <row r="1777">
      <c r="B1777" s="14"/>
      <c r="F1777" s="14"/>
      <c r="G1777" s="14"/>
      <c r="J1777" s="15"/>
      <c r="K1777" s="14"/>
      <c r="R1777" s="15"/>
    </row>
    <row r="1778">
      <c r="B1778" s="14"/>
      <c r="F1778" s="14"/>
      <c r="G1778" s="14"/>
      <c r="J1778" s="15"/>
      <c r="K1778" s="14"/>
      <c r="R1778" s="15"/>
    </row>
    <row r="1779">
      <c r="B1779" s="14"/>
      <c r="F1779" s="14"/>
      <c r="G1779" s="14"/>
      <c r="J1779" s="15"/>
      <c r="K1779" s="14"/>
      <c r="R1779" s="15"/>
    </row>
    <row r="1780">
      <c r="B1780" s="14"/>
      <c r="F1780" s="14"/>
      <c r="G1780" s="14"/>
      <c r="J1780" s="15"/>
      <c r="K1780" s="14"/>
      <c r="R1780" s="15"/>
    </row>
    <row r="1781">
      <c r="B1781" s="14"/>
      <c r="F1781" s="14"/>
      <c r="G1781" s="14"/>
      <c r="J1781" s="15"/>
      <c r="K1781" s="14"/>
      <c r="R1781" s="15"/>
    </row>
    <row r="1782">
      <c r="B1782" s="14"/>
      <c r="F1782" s="14"/>
      <c r="G1782" s="14"/>
      <c r="J1782" s="15"/>
      <c r="K1782" s="14"/>
      <c r="R1782" s="15"/>
    </row>
    <row r="1783">
      <c r="B1783" s="14"/>
      <c r="F1783" s="14"/>
      <c r="G1783" s="14"/>
      <c r="J1783" s="15"/>
      <c r="K1783" s="14"/>
      <c r="R1783" s="15"/>
    </row>
    <row r="1784">
      <c r="B1784" s="14"/>
      <c r="F1784" s="14"/>
      <c r="G1784" s="14"/>
      <c r="J1784" s="15"/>
      <c r="K1784" s="14"/>
      <c r="R1784" s="15"/>
    </row>
    <row r="1785">
      <c r="B1785" s="14"/>
      <c r="F1785" s="14"/>
      <c r="G1785" s="14"/>
      <c r="J1785" s="15"/>
      <c r="K1785" s="14"/>
      <c r="R1785" s="15"/>
    </row>
    <row r="1786">
      <c r="B1786" s="14"/>
      <c r="F1786" s="14"/>
      <c r="G1786" s="14"/>
      <c r="J1786" s="15"/>
      <c r="K1786" s="14"/>
      <c r="R1786" s="15"/>
    </row>
    <row r="1787">
      <c r="B1787" s="14"/>
      <c r="F1787" s="14"/>
      <c r="G1787" s="14"/>
      <c r="J1787" s="15"/>
      <c r="K1787" s="14"/>
      <c r="R1787" s="15"/>
    </row>
    <row r="1788">
      <c r="B1788" s="14"/>
      <c r="F1788" s="14"/>
      <c r="G1788" s="14"/>
      <c r="J1788" s="15"/>
      <c r="K1788" s="14"/>
      <c r="R1788" s="15"/>
    </row>
    <row r="1789">
      <c r="B1789" s="14"/>
      <c r="F1789" s="14"/>
      <c r="G1789" s="14"/>
      <c r="J1789" s="15"/>
      <c r="K1789" s="14"/>
      <c r="R1789" s="15"/>
    </row>
    <row r="1790">
      <c r="B1790" s="14"/>
      <c r="F1790" s="14"/>
      <c r="G1790" s="14"/>
      <c r="J1790" s="15"/>
      <c r="K1790" s="14"/>
      <c r="R1790" s="15"/>
    </row>
    <row r="1791">
      <c r="B1791" s="14"/>
      <c r="F1791" s="14"/>
      <c r="G1791" s="14"/>
      <c r="J1791" s="15"/>
      <c r="K1791" s="14"/>
      <c r="R1791" s="15"/>
    </row>
    <row r="1792">
      <c r="B1792" s="14"/>
      <c r="F1792" s="14"/>
      <c r="G1792" s="14"/>
      <c r="J1792" s="15"/>
      <c r="K1792" s="14"/>
      <c r="R1792" s="15"/>
    </row>
    <row r="1793">
      <c r="B1793" s="14"/>
      <c r="F1793" s="14"/>
      <c r="G1793" s="14"/>
      <c r="J1793" s="15"/>
      <c r="K1793" s="14"/>
      <c r="R1793" s="15"/>
    </row>
    <row r="1794">
      <c r="B1794" s="14"/>
      <c r="F1794" s="14"/>
      <c r="G1794" s="14"/>
      <c r="J1794" s="15"/>
      <c r="K1794" s="14"/>
      <c r="R1794" s="15"/>
    </row>
    <row r="1795">
      <c r="B1795" s="14"/>
      <c r="F1795" s="14"/>
      <c r="G1795" s="14"/>
      <c r="J1795" s="15"/>
      <c r="K1795" s="14"/>
      <c r="R1795" s="15"/>
    </row>
    <row r="1796">
      <c r="B1796" s="14"/>
      <c r="F1796" s="14"/>
      <c r="G1796" s="14"/>
      <c r="J1796" s="15"/>
      <c r="K1796" s="14"/>
      <c r="R1796" s="15"/>
    </row>
    <row r="1797">
      <c r="B1797" s="14"/>
      <c r="F1797" s="14"/>
      <c r="G1797" s="14"/>
      <c r="J1797" s="15"/>
      <c r="K1797" s="14"/>
      <c r="R1797" s="15"/>
    </row>
    <row r="1798">
      <c r="B1798" s="14"/>
      <c r="F1798" s="14"/>
      <c r="G1798" s="14"/>
      <c r="J1798" s="15"/>
      <c r="K1798" s="14"/>
      <c r="R1798" s="15"/>
    </row>
    <row r="1799">
      <c r="B1799" s="14"/>
      <c r="F1799" s="14"/>
      <c r="G1799" s="14"/>
      <c r="J1799" s="15"/>
      <c r="K1799" s="14"/>
      <c r="R1799" s="15"/>
    </row>
    <row r="1800">
      <c r="B1800" s="14"/>
      <c r="F1800" s="14"/>
      <c r="G1800" s="14"/>
      <c r="J1800" s="15"/>
      <c r="K1800" s="14"/>
      <c r="R1800" s="15"/>
    </row>
    <row r="1801">
      <c r="B1801" s="14"/>
      <c r="F1801" s="14"/>
      <c r="G1801" s="14"/>
      <c r="J1801" s="15"/>
      <c r="K1801" s="14"/>
      <c r="R1801" s="15"/>
    </row>
    <row r="1802">
      <c r="B1802" s="14"/>
      <c r="F1802" s="14"/>
      <c r="G1802" s="14"/>
      <c r="J1802" s="15"/>
      <c r="K1802" s="14"/>
      <c r="R1802" s="15"/>
    </row>
    <row r="1803">
      <c r="B1803" s="14"/>
      <c r="F1803" s="14"/>
      <c r="G1803" s="14"/>
      <c r="J1803" s="15"/>
      <c r="K1803" s="14"/>
      <c r="R1803" s="15"/>
    </row>
    <row r="1804">
      <c r="B1804" s="14"/>
      <c r="F1804" s="14"/>
      <c r="G1804" s="14"/>
      <c r="J1804" s="15"/>
      <c r="K1804" s="14"/>
      <c r="R1804" s="15"/>
    </row>
    <row r="1805">
      <c r="B1805" s="14"/>
      <c r="F1805" s="14"/>
      <c r="G1805" s="14"/>
      <c r="J1805" s="15"/>
      <c r="K1805" s="14"/>
      <c r="R1805" s="15"/>
    </row>
    <row r="1806">
      <c r="B1806" s="14"/>
      <c r="F1806" s="14"/>
      <c r="G1806" s="14"/>
      <c r="J1806" s="15"/>
      <c r="K1806" s="14"/>
      <c r="R1806" s="15"/>
    </row>
    <row r="1807">
      <c r="B1807" s="14"/>
      <c r="F1807" s="14"/>
      <c r="G1807" s="14"/>
      <c r="J1807" s="15"/>
      <c r="K1807" s="14"/>
      <c r="R1807" s="15"/>
    </row>
    <row r="1808">
      <c r="B1808" s="14"/>
      <c r="F1808" s="14"/>
      <c r="G1808" s="14"/>
      <c r="J1808" s="15"/>
      <c r="K1808" s="14"/>
      <c r="R1808" s="15"/>
    </row>
    <row r="1809">
      <c r="B1809" s="14"/>
      <c r="F1809" s="14"/>
      <c r="G1809" s="14"/>
      <c r="J1809" s="15"/>
      <c r="K1809" s="14"/>
      <c r="R1809" s="15"/>
    </row>
    <row r="1810">
      <c r="B1810" s="14"/>
      <c r="F1810" s="14"/>
      <c r="G1810" s="14"/>
      <c r="J1810" s="15"/>
      <c r="K1810" s="14"/>
      <c r="R1810" s="15"/>
    </row>
    <row r="1811">
      <c r="B1811" s="14"/>
      <c r="F1811" s="14"/>
      <c r="G1811" s="14"/>
      <c r="J1811" s="15"/>
      <c r="K1811" s="14"/>
      <c r="R1811" s="15"/>
    </row>
    <row r="1812">
      <c r="B1812" s="14"/>
      <c r="F1812" s="14"/>
      <c r="G1812" s="14"/>
      <c r="J1812" s="15"/>
      <c r="K1812" s="14"/>
      <c r="R1812" s="15"/>
    </row>
    <row r="1813">
      <c r="B1813" s="14"/>
      <c r="F1813" s="14"/>
      <c r="G1813" s="14"/>
      <c r="J1813" s="15"/>
      <c r="K1813" s="14"/>
      <c r="R1813" s="15"/>
    </row>
    <row r="1814">
      <c r="B1814" s="14"/>
      <c r="F1814" s="14"/>
      <c r="G1814" s="14"/>
      <c r="J1814" s="15"/>
      <c r="K1814" s="14"/>
      <c r="R1814" s="15"/>
    </row>
    <row r="1815">
      <c r="B1815" s="14"/>
      <c r="F1815" s="14"/>
      <c r="G1815" s="14"/>
      <c r="J1815" s="15"/>
      <c r="K1815" s="14"/>
      <c r="R1815" s="15"/>
    </row>
    <row r="1816">
      <c r="B1816" s="14"/>
      <c r="F1816" s="14"/>
      <c r="G1816" s="14"/>
      <c r="J1816" s="15"/>
      <c r="K1816" s="14"/>
      <c r="R1816" s="15"/>
    </row>
    <row r="1817">
      <c r="B1817" s="14"/>
      <c r="F1817" s="14"/>
      <c r="G1817" s="14"/>
      <c r="J1817" s="15"/>
      <c r="K1817" s="14"/>
      <c r="R1817" s="15"/>
    </row>
    <row r="1818">
      <c r="B1818" s="14"/>
      <c r="F1818" s="14"/>
      <c r="G1818" s="14"/>
      <c r="J1818" s="15"/>
      <c r="K1818" s="14"/>
      <c r="R1818" s="15"/>
    </row>
    <row r="1819">
      <c r="B1819" s="14"/>
      <c r="F1819" s="14"/>
      <c r="G1819" s="14"/>
      <c r="J1819" s="15"/>
      <c r="K1819" s="14"/>
      <c r="R1819" s="15"/>
    </row>
    <row r="1820">
      <c r="B1820" s="14"/>
      <c r="F1820" s="14"/>
      <c r="G1820" s="14"/>
      <c r="J1820" s="15"/>
      <c r="K1820" s="14"/>
      <c r="R1820" s="15"/>
    </row>
    <row r="1821">
      <c r="B1821" s="14"/>
      <c r="F1821" s="14"/>
      <c r="G1821" s="14"/>
      <c r="J1821" s="15"/>
      <c r="K1821" s="14"/>
      <c r="R1821" s="15"/>
    </row>
    <row r="1822">
      <c r="B1822" s="14"/>
      <c r="F1822" s="14"/>
      <c r="G1822" s="14"/>
      <c r="J1822" s="15"/>
      <c r="K1822" s="14"/>
      <c r="R1822" s="15"/>
    </row>
    <row r="1823">
      <c r="B1823" s="14"/>
      <c r="F1823" s="14"/>
      <c r="G1823" s="14"/>
      <c r="J1823" s="15"/>
      <c r="K1823" s="14"/>
      <c r="R1823" s="15"/>
    </row>
    <row r="1824">
      <c r="B1824" s="14"/>
      <c r="F1824" s="14"/>
      <c r="G1824" s="14"/>
      <c r="J1824" s="15"/>
      <c r="K1824" s="14"/>
      <c r="R1824" s="15"/>
    </row>
    <row r="1825">
      <c r="B1825" s="14"/>
      <c r="F1825" s="14"/>
      <c r="G1825" s="14"/>
      <c r="J1825" s="15"/>
      <c r="K1825" s="14"/>
      <c r="R1825" s="15"/>
    </row>
    <row r="1826">
      <c r="B1826" s="14"/>
      <c r="F1826" s="14"/>
      <c r="G1826" s="14"/>
      <c r="J1826" s="15"/>
      <c r="K1826" s="14"/>
      <c r="R1826" s="15"/>
    </row>
    <row r="1827">
      <c r="B1827" s="14"/>
      <c r="F1827" s="14"/>
      <c r="G1827" s="14"/>
      <c r="J1827" s="15"/>
      <c r="K1827" s="14"/>
      <c r="R1827" s="15"/>
    </row>
    <row r="1828">
      <c r="B1828" s="14"/>
      <c r="F1828" s="14"/>
      <c r="G1828" s="14"/>
      <c r="J1828" s="15"/>
      <c r="K1828" s="14"/>
      <c r="R1828" s="15"/>
    </row>
    <row r="1829">
      <c r="B1829" s="14"/>
      <c r="F1829" s="14"/>
      <c r="G1829" s="14"/>
      <c r="J1829" s="15"/>
      <c r="K1829" s="14"/>
      <c r="R1829" s="15"/>
    </row>
    <row r="1830">
      <c r="B1830" s="14"/>
      <c r="F1830" s="14"/>
      <c r="G1830" s="14"/>
      <c r="J1830" s="15"/>
      <c r="K1830" s="14"/>
      <c r="R1830" s="15"/>
    </row>
    <row r="1831">
      <c r="B1831" s="14"/>
      <c r="F1831" s="14"/>
      <c r="G1831" s="14"/>
      <c r="J1831" s="15"/>
      <c r="K1831" s="14"/>
      <c r="R1831" s="15"/>
    </row>
    <row r="1832">
      <c r="B1832" s="14"/>
      <c r="F1832" s="14"/>
      <c r="G1832" s="14"/>
      <c r="J1832" s="15"/>
      <c r="K1832" s="14"/>
      <c r="R1832" s="15"/>
    </row>
    <row r="1833">
      <c r="B1833" s="14"/>
      <c r="F1833" s="14"/>
      <c r="G1833" s="14"/>
      <c r="J1833" s="15"/>
      <c r="K1833" s="14"/>
      <c r="R1833" s="15"/>
    </row>
    <row r="1834">
      <c r="B1834" s="14"/>
      <c r="F1834" s="14"/>
      <c r="G1834" s="14"/>
      <c r="J1834" s="15"/>
      <c r="K1834" s="14"/>
      <c r="R1834" s="15"/>
    </row>
    <row r="1835">
      <c r="B1835" s="14"/>
      <c r="F1835" s="14"/>
      <c r="G1835" s="14"/>
      <c r="J1835" s="15"/>
      <c r="K1835" s="14"/>
      <c r="R1835" s="15"/>
    </row>
    <row r="1836">
      <c r="B1836" s="14"/>
      <c r="F1836" s="14"/>
      <c r="G1836" s="14"/>
      <c r="J1836" s="15"/>
      <c r="K1836" s="14"/>
      <c r="R1836" s="15"/>
    </row>
    <row r="1837">
      <c r="B1837" s="14"/>
      <c r="F1837" s="14"/>
      <c r="G1837" s="14"/>
      <c r="J1837" s="15"/>
      <c r="K1837" s="14"/>
      <c r="R1837" s="15"/>
    </row>
    <row r="1838">
      <c r="B1838" s="14"/>
      <c r="F1838" s="14"/>
      <c r="G1838" s="14"/>
      <c r="J1838" s="15"/>
      <c r="K1838" s="14"/>
      <c r="R1838" s="15"/>
    </row>
    <row r="1839">
      <c r="B1839" s="14"/>
      <c r="F1839" s="14"/>
      <c r="G1839" s="14"/>
      <c r="J1839" s="15"/>
      <c r="K1839" s="14"/>
      <c r="R1839" s="15"/>
    </row>
    <row r="1840">
      <c r="B1840" s="14"/>
      <c r="F1840" s="14"/>
      <c r="G1840" s="14"/>
      <c r="J1840" s="15"/>
      <c r="K1840" s="14"/>
      <c r="R1840" s="15"/>
    </row>
    <row r="1841">
      <c r="B1841" s="14"/>
      <c r="F1841" s="14"/>
      <c r="G1841" s="14"/>
      <c r="J1841" s="15"/>
      <c r="K1841" s="14"/>
      <c r="R1841" s="15"/>
    </row>
    <row r="1842">
      <c r="B1842" s="14"/>
      <c r="F1842" s="14"/>
      <c r="G1842" s="14"/>
      <c r="J1842" s="15"/>
      <c r="K1842" s="14"/>
      <c r="R1842" s="15"/>
    </row>
    <row r="1843">
      <c r="B1843" s="14"/>
      <c r="F1843" s="14"/>
      <c r="G1843" s="14"/>
      <c r="J1843" s="15"/>
      <c r="K1843" s="14"/>
      <c r="R1843" s="15"/>
    </row>
    <row r="1844">
      <c r="B1844" s="14"/>
      <c r="F1844" s="14"/>
      <c r="G1844" s="14"/>
      <c r="J1844" s="15"/>
      <c r="K1844" s="14"/>
      <c r="R1844" s="15"/>
    </row>
    <row r="1845">
      <c r="B1845" s="14"/>
      <c r="F1845" s="14"/>
      <c r="G1845" s="14"/>
      <c r="J1845" s="15"/>
      <c r="K1845" s="14"/>
      <c r="R1845" s="15"/>
    </row>
    <row r="1846">
      <c r="B1846" s="14"/>
      <c r="F1846" s="14"/>
      <c r="G1846" s="14"/>
      <c r="J1846" s="15"/>
      <c r="K1846" s="14"/>
      <c r="R1846" s="15"/>
    </row>
    <row r="1847">
      <c r="B1847" s="14"/>
      <c r="F1847" s="14"/>
      <c r="G1847" s="14"/>
      <c r="J1847" s="15"/>
      <c r="K1847" s="14"/>
      <c r="R1847" s="15"/>
    </row>
    <row r="1848">
      <c r="B1848" s="14"/>
      <c r="F1848" s="14"/>
      <c r="G1848" s="14"/>
      <c r="J1848" s="15"/>
      <c r="K1848" s="14"/>
      <c r="R1848" s="15"/>
    </row>
    <row r="1849">
      <c r="B1849" s="14"/>
      <c r="F1849" s="14"/>
      <c r="G1849" s="14"/>
      <c r="J1849" s="15"/>
      <c r="K1849" s="14"/>
      <c r="R1849" s="15"/>
    </row>
    <row r="1850">
      <c r="B1850" s="14"/>
      <c r="F1850" s="14"/>
      <c r="G1850" s="14"/>
      <c r="J1850" s="15"/>
      <c r="K1850" s="14"/>
      <c r="R1850" s="15"/>
    </row>
    <row r="1851">
      <c r="B1851" s="14"/>
      <c r="F1851" s="14"/>
      <c r="G1851" s="14"/>
      <c r="J1851" s="15"/>
      <c r="K1851" s="14"/>
      <c r="R1851" s="15"/>
    </row>
    <row r="1852">
      <c r="B1852" s="14"/>
      <c r="F1852" s="14"/>
      <c r="G1852" s="14"/>
      <c r="J1852" s="15"/>
      <c r="K1852" s="14"/>
      <c r="R1852" s="15"/>
    </row>
    <row r="1853">
      <c r="B1853" s="14"/>
      <c r="F1853" s="14"/>
      <c r="G1853" s="14"/>
      <c r="J1853" s="15"/>
      <c r="K1853" s="14"/>
      <c r="R1853" s="15"/>
    </row>
    <row r="1854">
      <c r="B1854" s="14"/>
      <c r="F1854" s="14"/>
      <c r="G1854" s="14"/>
      <c r="J1854" s="15"/>
      <c r="K1854" s="14"/>
      <c r="R1854" s="15"/>
    </row>
    <row r="1855">
      <c r="B1855" s="14"/>
      <c r="F1855" s="14"/>
      <c r="G1855" s="14"/>
      <c r="J1855" s="15"/>
      <c r="K1855" s="14"/>
      <c r="R1855" s="15"/>
    </row>
    <row r="1856">
      <c r="B1856" s="14"/>
      <c r="F1856" s="14"/>
      <c r="G1856" s="14"/>
      <c r="J1856" s="15"/>
      <c r="K1856" s="14"/>
      <c r="R1856" s="15"/>
    </row>
    <row r="1857">
      <c r="B1857" s="14"/>
      <c r="F1857" s="14"/>
      <c r="G1857" s="14"/>
      <c r="J1857" s="15"/>
      <c r="K1857" s="14"/>
      <c r="R1857" s="15"/>
    </row>
    <row r="1858">
      <c r="B1858" s="14"/>
      <c r="F1858" s="14"/>
      <c r="G1858" s="14"/>
      <c r="J1858" s="15"/>
      <c r="K1858" s="14"/>
      <c r="R1858" s="15"/>
    </row>
    <row r="1859">
      <c r="B1859" s="14"/>
      <c r="F1859" s="14"/>
      <c r="G1859" s="14"/>
      <c r="J1859" s="15"/>
      <c r="K1859" s="14"/>
      <c r="R1859" s="15"/>
    </row>
    <row r="1860">
      <c r="B1860" s="14"/>
      <c r="F1860" s="14"/>
      <c r="G1860" s="14"/>
      <c r="J1860" s="15"/>
      <c r="K1860" s="14"/>
      <c r="R1860" s="15"/>
    </row>
    <row r="1861">
      <c r="B1861" s="14"/>
      <c r="F1861" s="14"/>
      <c r="G1861" s="14"/>
      <c r="J1861" s="15"/>
      <c r="K1861" s="14"/>
      <c r="R1861" s="15"/>
    </row>
    <row r="1862">
      <c r="B1862" s="14"/>
      <c r="F1862" s="14"/>
      <c r="G1862" s="14"/>
      <c r="J1862" s="15"/>
      <c r="K1862" s="14"/>
      <c r="R1862" s="15"/>
    </row>
    <row r="1863">
      <c r="B1863" s="14"/>
      <c r="F1863" s="14"/>
      <c r="G1863" s="14"/>
      <c r="J1863" s="15"/>
      <c r="K1863" s="14"/>
      <c r="R1863" s="15"/>
    </row>
    <row r="1864">
      <c r="B1864" s="14"/>
      <c r="F1864" s="14"/>
      <c r="G1864" s="14"/>
      <c r="J1864" s="15"/>
      <c r="K1864" s="14"/>
      <c r="R1864" s="15"/>
    </row>
    <row r="1865">
      <c r="B1865" s="14"/>
      <c r="F1865" s="14"/>
      <c r="G1865" s="14"/>
      <c r="J1865" s="15"/>
      <c r="K1865" s="14"/>
      <c r="R1865" s="15"/>
    </row>
    <row r="1866">
      <c r="B1866" s="14"/>
      <c r="F1866" s="14"/>
      <c r="G1866" s="14"/>
      <c r="J1866" s="15"/>
      <c r="K1866" s="14"/>
      <c r="R1866" s="15"/>
    </row>
    <row r="1867">
      <c r="B1867" s="14"/>
      <c r="F1867" s="14"/>
      <c r="G1867" s="14"/>
      <c r="J1867" s="15"/>
      <c r="K1867" s="14"/>
      <c r="R1867" s="15"/>
    </row>
    <row r="1868">
      <c r="B1868" s="14"/>
      <c r="F1868" s="14"/>
      <c r="G1868" s="14"/>
      <c r="J1868" s="15"/>
      <c r="K1868" s="14"/>
      <c r="R1868" s="15"/>
    </row>
    <row r="1869">
      <c r="B1869" s="14"/>
      <c r="F1869" s="14"/>
      <c r="G1869" s="14"/>
      <c r="J1869" s="15"/>
      <c r="K1869" s="14"/>
      <c r="R1869" s="15"/>
    </row>
    <row r="1870">
      <c r="B1870" s="14"/>
      <c r="F1870" s="14"/>
      <c r="G1870" s="14"/>
      <c r="J1870" s="15"/>
      <c r="K1870" s="14"/>
      <c r="R1870" s="15"/>
    </row>
    <row r="1871">
      <c r="B1871" s="14"/>
      <c r="F1871" s="14"/>
      <c r="G1871" s="14"/>
      <c r="J1871" s="15"/>
      <c r="K1871" s="14"/>
      <c r="R1871" s="15"/>
    </row>
    <row r="1872">
      <c r="B1872" s="14"/>
      <c r="F1872" s="14"/>
      <c r="G1872" s="14"/>
      <c r="J1872" s="15"/>
      <c r="K1872" s="14"/>
      <c r="R1872" s="15"/>
    </row>
    <row r="1873">
      <c r="B1873" s="14"/>
      <c r="F1873" s="14"/>
      <c r="G1873" s="14"/>
      <c r="J1873" s="15"/>
      <c r="K1873" s="14"/>
      <c r="R1873" s="15"/>
    </row>
    <row r="1874">
      <c r="B1874" s="14"/>
      <c r="F1874" s="14"/>
      <c r="G1874" s="14"/>
      <c r="J1874" s="15"/>
      <c r="K1874" s="14"/>
      <c r="R1874" s="15"/>
    </row>
    <row r="1875">
      <c r="B1875" s="14"/>
      <c r="F1875" s="14"/>
      <c r="G1875" s="14"/>
      <c r="J1875" s="15"/>
      <c r="K1875" s="14"/>
      <c r="R1875" s="15"/>
    </row>
    <row r="1876">
      <c r="B1876" s="14"/>
      <c r="F1876" s="14"/>
      <c r="G1876" s="14"/>
      <c r="J1876" s="15"/>
      <c r="K1876" s="14"/>
      <c r="R1876" s="15"/>
    </row>
    <row r="1877">
      <c r="B1877" s="14"/>
      <c r="F1877" s="14"/>
      <c r="G1877" s="14"/>
      <c r="J1877" s="15"/>
      <c r="K1877" s="14"/>
      <c r="R1877" s="15"/>
    </row>
    <row r="1878">
      <c r="B1878" s="14"/>
      <c r="F1878" s="14"/>
      <c r="G1878" s="14"/>
      <c r="J1878" s="15"/>
      <c r="K1878" s="14"/>
      <c r="R1878" s="15"/>
    </row>
    <row r="1879">
      <c r="B1879" s="14"/>
      <c r="F1879" s="14"/>
      <c r="G1879" s="14"/>
      <c r="J1879" s="15"/>
      <c r="K1879" s="14"/>
      <c r="R1879" s="15"/>
    </row>
    <row r="1880">
      <c r="B1880" s="14"/>
      <c r="F1880" s="14"/>
      <c r="G1880" s="14"/>
      <c r="J1880" s="15"/>
      <c r="K1880" s="14"/>
      <c r="R1880" s="15"/>
    </row>
    <row r="1881">
      <c r="B1881" s="14"/>
      <c r="F1881" s="14"/>
      <c r="G1881" s="14"/>
      <c r="J1881" s="15"/>
      <c r="K1881" s="14"/>
      <c r="R1881" s="15"/>
    </row>
    <row r="1882">
      <c r="B1882" s="14"/>
      <c r="F1882" s="14"/>
      <c r="G1882" s="14"/>
      <c r="J1882" s="15"/>
      <c r="K1882" s="14"/>
      <c r="R1882" s="15"/>
    </row>
    <row r="1883">
      <c r="B1883" s="14"/>
      <c r="F1883" s="14"/>
      <c r="G1883" s="14"/>
      <c r="J1883" s="15"/>
      <c r="K1883" s="14"/>
      <c r="R1883" s="15"/>
    </row>
    <row r="1884">
      <c r="B1884" s="14"/>
      <c r="F1884" s="14"/>
      <c r="G1884" s="14"/>
      <c r="J1884" s="15"/>
      <c r="K1884" s="14"/>
      <c r="R1884" s="15"/>
    </row>
    <row r="1885">
      <c r="B1885" s="14"/>
      <c r="F1885" s="14"/>
      <c r="G1885" s="14"/>
      <c r="J1885" s="15"/>
      <c r="K1885" s="14"/>
      <c r="R1885" s="15"/>
    </row>
    <row r="1886">
      <c r="B1886" s="14"/>
      <c r="F1886" s="14"/>
      <c r="G1886" s="14"/>
      <c r="J1886" s="15"/>
      <c r="K1886" s="14"/>
      <c r="R1886" s="15"/>
    </row>
    <row r="1887">
      <c r="B1887" s="14"/>
      <c r="F1887" s="14"/>
      <c r="G1887" s="14"/>
      <c r="J1887" s="15"/>
      <c r="K1887" s="14"/>
      <c r="R1887" s="15"/>
    </row>
    <row r="1888">
      <c r="B1888" s="14"/>
      <c r="F1888" s="14"/>
      <c r="G1888" s="14"/>
      <c r="J1888" s="15"/>
      <c r="K1888" s="14"/>
      <c r="R1888" s="15"/>
    </row>
    <row r="1889">
      <c r="B1889" s="14"/>
      <c r="F1889" s="14"/>
      <c r="G1889" s="14"/>
      <c r="J1889" s="15"/>
      <c r="K1889" s="14"/>
      <c r="R1889" s="15"/>
    </row>
    <row r="1890">
      <c r="B1890" s="14"/>
      <c r="F1890" s="14"/>
      <c r="G1890" s="14"/>
      <c r="J1890" s="15"/>
      <c r="K1890" s="14"/>
      <c r="R1890" s="15"/>
    </row>
    <row r="1891">
      <c r="B1891" s="14"/>
      <c r="F1891" s="14"/>
      <c r="G1891" s="14"/>
      <c r="J1891" s="15"/>
      <c r="K1891" s="14"/>
      <c r="R1891" s="15"/>
    </row>
    <row r="1892">
      <c r="B1892" s="14"/>
      <c r="F1892" s="14"/>
      <c r="G1892" s="14"/>
      <c r="J1892" s="15"/>
      <c r="K1892" s="14"/>
      <c r="R1892" s="15"/>
    </row>
    <row r="1893">
      <c r="B1893" s="14"/>
      <c r="F1893" s="14"/>
      <c r="G1893" s="14"/>
      <c r="J1893" s="15"/>
      <c r="K1893" s="14"/>
      <c r="R1893" s="15"/>
    </row>
    <row r="1894">
      <c r="B1894" s="14"/>
      <c r="F1894" s="14"/>
      <c r="G1894" s="14"/>
      <c r="J1894" s="15"/>
      <c r="K1894" s="14"/>
      <c r="R1894" s="15"/>
    </row>
    <row r="1895">
      <c r="B1895" s="14"/>
      <c r="F1895" s="14"/>
      <c r="G1895" s="14"/>
      <c r="J1895" s="15"/>
      <c r="K1895" s="14"/>
      <c r="R1895" s="15"/>
    </row>
    <row r="1896">
      <c r="B1896" s="14"/>
      <c r="F1896" s="14"/>
      <c r="G1896" s="14"/>
      <c r="J1896" s="15"/>
      <c r="K1896" s="14"/>
      <c r="R1896" s="15"/>
    </row>
    <row r="1897">
      <c r="B1897" s="14"/>
      <c r="F1897" s="14"/>
      <c r="G1897" s="14"/>
      <c r="J1897" s="15"/>
      <c r="K1897" s="14"/>
      <c r="R1897" s="15"/>
    </row>
    <row r="1898">
      <c r="B1898" s="14"/>
      <c r="F1898" s="14"/>
      <c r="G1898" s="14"/>
      <c r="J1898" s="15"/>
      <c r="K1898" s="14"/>
      <c r="R1898" s="15"/>
    </row>
    <row r="1899">
      <c r="B1899" s="14"/>
      <c r="F1899" s="14"/>
      <c r="G1899" s="14"/>
      <c r="J1899" s="15"/>
      <c r="K1899" s="14"/>
      <c r="R1899" s="15"/>
    </row>
    <row r="1900">
      <c r="B1900" s="14"/>
      <c r="F1900" s="14"/>
      <c r="G1900" s="14"/>
      <c r="J1900" s="15"/>
      <c r="K1900" s="14"/>
      <c r="R1900" s="15"/>
    </row>
    <row r="1901">
      <c r="B1901" s="14"/>
      <c r="F1901" s="14"/>
      <c r="G1901" s="14"/>
      <c r="J1901" s="15"/>
      <c r="K1901" s="14"/>
      <c r="R1901" s="15"/>
    </row>
    <row r="1902">
      <c r="B1902" s="14"/>
      <c r="F1902" s="14"/>
      <c r="G1902" s="14"/>
      <c r="J1902" s="15"/>
      <c r="K1902" s="14"/>
      <c r="R1902" s="15"/>
    </row>
    <row r="1903">
      <c r="B1903" s="14"/>
      <c r="F1903" s="14"/>
      <c r="G1903" s="14"/>
      <c r="J1903" s="15"/>
      <c r="K1903" s="14"/>
      <c r="R1903" s="15"/>
    </row>
    <row r="1904">
      <c r="B1904" s="14"/>
      <c r="F1904" s="14"/>
      <c r="G1904" s="14"/>
      <c r="J1904" s="15"/>
      <c r="K1904" s="14"/>
      <c r="R1904" s="15"/>
    </row>
    <row r="1905">
      <c r="B1905" s="14"/>
      <c r="F1905" s="14"/>
      <c r="G1905" s="14"/>
      <c r="J1905" s="15"/>
      <c r="K1905" s="14"/>
      <c r="R1905" s="15"/>
    </row>
    <row r="1906">
      <c r="B1906" s="14"/>
      <c r="F1906" s="14"/>
      <c r="G1906" s="14"/>
      <c r="J1906" s="15"/>
      <c r="K1906" s="14"/>
      <c r="R1906" s="15"/>
    </row>
    <row r="1907">
      <c r="B1907" s="14"/>
      <c r="F1907" s="14"/>
      <c r="G1907" s="14"/>
      <c r="J1907" s="15"/>
      <c r="K1907" s="14"/>
      <c r="R1907" s="15"/>
    </row>
    <row r="1908">
      <c r="B1908" s="14"/>
      <c r="F1908" s="14"/>
      <c r="G1908" s="14"/>
      <c r="J1908" s="15"/>
      <c r="K1908" s="14"/>
      <c r="R1908" s="15"/>
    </row>
    <row r="1909">
      <c r="B1909" s="14"/>
      <c r="F1909" s="14"/>
      <c r="G1909" s="14"/>
      <c r="J1909" s="15"/>
      <c r="K1909" s="14"/>
      <c r="R1909" s="15"/>
    </row>
    <row r="1910">
      <c r="B1910" s="14"/>
      <c r="F1910" s="14"/>
      <c r="G1910" s="14"/>
      <c r="J1910" s="15"/>
      <c r="K1910" s="14"/>
      <c r="R1910" s="15"/>
    </row>
    <row r="1911">
      <c r="B1911" s="14"/>
      <c r="F1911" s="14"/>
      <c r="G1911" s="14"/>
      <c r="J1911" s="15"/>
      <c r="K1911" s="14"/>
      <c r="R1911" s="15"/>
    </row>
    <row r="1912">
      <c r="B1912" s="14"/>
      <c r="F1912" s="14"/>
      <c r="G1912" s="14"/>
      <c r="J1912" s="15"/>
      <c r="K1912" s="14"/>
      <c r="R1912" s="15"/>
    </row>
    <row r="1913">
      <c r="B1913" s="14"/>
      <c r="F1913" s="14"/>
      <c r="G1913" s="14"/>
      <c r="J1913" s="15"/>
      <c r="K1913" s="14"/>
      <c r="R1913" s="15"/>
    </row>
    <row r="1914">
      <c r="B1914" s="14"/>
      <c r="F1914" s="14"/>
      <c r="G1914" s="14"/>
      <c r="J1914" s="15"/>
      <c r="K1914" s="14"/>
      <c r="R1914" s="15"/>
    </row>
    <row r="1915">
      <c r="B1915" s="14"/>
      <c r="F1915" s="14"/>
      <c r="G1915" s="14"/>
      <c r="J1915" s="15"/>
      <c r="K1915" s="14"/>
      <c r="R1915" s="15"/>
    </row>
    <row r="1916">
      <c r="B1916" s="14"/>
      <c r="F1916" s="14"/>
      <c r="G1916" s="14"/>
      <c r="J1916" s="15"/>
      <c r="K1916" s="14"/>
      <c r="R1916" s="15"/>
    </row>
    <row r="1917">
      <c r="B1917" s="14"/>
      <c r="F1917" s="14"/>
      <c r="G1917" s="14"/>
      <c r="J1917" s="15"/>
      <c r="K1917" s="14"/>
      <c r="R1917" s="15"/>
    </row>
    <row r="1918">
      <c r="B1918" s="14"/>
      <c r="F1918" s="14"/>
      <c r="G1918" s="14"/>
      <c r="J1918" s="15"/>
      <c r="K1918" s="14"/>
      <c r="R1918" s="15"/>
    </row>
    <row r="1919">
      <c r="B1919" s="14"/>
      <c r="F1919" s="14"/>
      <c r="G1919" s="14"/>
      <c r="J1919" s="15"/>
      <c r="K1919" s="14"/>
      <c r="R1919" s="15"/>
    </row>
    <row r="1920">
      <c r="B1920" s="14"/>
      <c r="F1920" s="14"/>
      <c r="G1920" s="14"/>
      <c r="J1920" s="15"/>
      <c r="K1920" s="14"/>
      <c r="R1920" s="15"/>
    </row>
    <row r="1921">
      <c r="B1921" s="14"/>
      <c r="F1921" s="14"/>
      <c r="G1921" s="14"/>
      <c r="J1921" s="15"/>
      <c r="K1921" s="14"/>
      <c r="R1921" s="15"/>
    </row>
    <row r="1922">
      <c r="B1922" s="14"/>
      <c r="F1922" s="14"/>
      <c r="G1922" s="14"/>
      <c r="J1922" s="15"/>
      <c r="K1922" s="14"/>
      <c r="R1922" s="15"/>
    </row>
    <row r="1923">
      <c r="B1923" s="14"/>
      <c r="F1923" s="14"/>
      <c r="G1923" s="14"/>
      <c r="J1923" s="15"/>
      <c r="K1923" s="14"/>
      <c r="R1923" s="15"/>
    </row>
    <row r="1924">
      <c r="B1924" s="14"/>
      <c r="F1924" s="14"/>
      <c r="G1924" s="14"/>
      <c r="J1924" s="15"/>
      <c r="K1924" s="14"/>
      <c r="R1924" s="15"/>
    </row>
    <row r="1925">
      <c r="B1925" s="14"/>
      <c r="F1925" s="14"/>
      <c r="G1925" s="14"/>
      <c r="J1925" s="15"/>
      <c r="K1925" s="14"/>
      <c r="R1925" s="15"/>
    </row>
    <row r="1926">
      <c r="B1926" s="14"/>
      <c r="F1926" s="14"/>
      <c r="G1926" s="14"/>
      <c r="J1926" s="15"/>
      <c r="K1926" s="14"/>
      <c r="R1926" s="15"/>
    </row>
    <row r="1927">
      <c r="B1927" s="14"/>
      <c r="F1927" s="14"/>
      <c r="G1927" s="14"/>
      <c r="J1927" s="15"/>
      <c r="K1927" s="14"/>
      <c r="R1927" s="15"/>
    </row>
    <row r="1928">
      <c r="B1928" s="14"/>
      <c r="F1928" s="14"/>
      <c r="G1928" s="14"/>
      <c r="J1928" s="15"/>
      <c r="K1928" s="14"/>
      <c r="R1928" s="15"/>
    </row>
    <row r="1929">
      <c r="B1929" s="14"/>
      <c r="F1929" s="14"/>
      <c r="G1929" s="14"/>
      <c r="J1929" s="15"/>
      <c r="K1929" s="14"/>
      <c r="R1929" s="15"/>
    </row>
    <row r="1930">
      <c r="B1930" s="14"/>
      <c r="F1930" s="14"/>
      <c r="G1930" s="14"/>
      <c r="J1930" s="15"/>
      <c r="K1930" s="14"/>
      <c r="R1930" s="15"/>
    </row>
    <row r="1931">
      <c r="B1931" s="14"/>
      <c r="F1931" s="14"/>
      <c r="G1931" s="14"/>
      <c r="J1931" s="15"/>
      <c r="K1931" s="14"/>
      <c r="R1931" s="15"/>
    </row>
    <row r="1932">
      <c r="B1932" s="14"/>
      <c r="F1932" s="14"/>
      <c r="G1932" s="14"/>
      <c r="J1932" s="15"/>
      <c r="K1932" s="14"/>
      <c r="R1932" s="15"/>
    </row>
    <row r="1933">
      <c r="B1933" s="14"/>
      <c r="F1933" s="14"/>
      <c r="G1933" s="14"/>
      <c r="J1933" s="15"/>
      <c r="K1933" s="14"/>
      <c r="R1933" s="15"/>
    </row>
    <row r="1934">
      <c r="B1934" s="14"/>
      <c r="F1934" s="14"/>
      <c r="G1934" s="14"/>
      <c r="J1934" s="15"/>
      <c r="K1934" s="14"/>
      <c r="R1934" s="15"/>
    </row>
    <row r="1935">
      <c r="B1935" s="14"/>
      <c r="F1935" s="14"/>
      <c r="G1935" s="14"/>
      <c r="J1935" s="15"/>
      <c r="K1935" s="14"/>
      <c r="R1935" s="15"/>
    </row>
    <row r="1936">
      <c r="B1936" s="14"/>
      <c r="F1936" s="14"/>
      <c r="G1936" s="14"/>
      <c r="J1936" s="15"/>
      <c r="K1936" s="14"/>
      <c r="R1936" s="15"/>
    </row>
    <row r="1937">
      <c r="B1937" s="14"/>
      <c r="F1937" s="14"/>
      <c r="G1937" s="14"/>
      <c r="J1937" s="15"/>
      <c r="K1937" s="14"/>
      <c r="R1937" s="15"/>
    </row>
    <row r="1938">
      <c r="B1938" s="14"/>
      <c r="F1938" s="14"/>
      <c r="G1938" s="14"/>
      <c r="J1938" s="15"/>
      <c r="K1938" s="14"/>
      <c r="R1938" s="15"/>
    </row>
    <row r="1939">
      <c r="B1939" s="14"/>
      <c r="F1939" s="14"/>
      <c r="G1939" s="14"/>
      <c r="J1939" s="15"/>
      <c r="K1939" s="14"/>
      <c r="R1939" s="15"/>
    </row>
    <row r="1940">
      <c r="B1940" s="14"/>
      <c r="F1940" s="14"/>
      <c r="G1940" s="14"/>
      <c r="J1940" s="15"/>
      <c r="K1940" s="14"/>
      <c r="R1940" s="15"/>
    </row>
    <row r="1941">
      <c r="B1941" s="14"/>
      <c r="F1941" s="14"/>
      <c r="G1941" s="14"/>
      <c r="J1941" s="15"/>
      <c r="K1941" s="14"/>
      <c r="R1941" s="15"/>
    </row>
    <row r="1942">
      <c r="B1942" s="14"/>
      <c r="F1942" s="14"/>
      <c r="G1942" s="14"/>
      <c r="J1942" s="15"/>
      <c r="K1942" s="14"/>
      <c r="R1942" s="15"/>
    </row>
    <row r="1943">
      <c r="B1943" s="14"/>
      <c r="F1943" s="14"/>
      <c r="G1943" s="14"/>
      <c r="J1943" s="15"/>
      <c r="K1943" s="14"/>
      <c r="R1943" s="15"/>
    </row>
    <row r="1944">
      <c r="B1944" s="14"/>
      <c r="F1944" s="14"/>
      <c r="G1944" s="14"/>
      <c r="J1944" s="15"/>
      <c r="K1944" s="14"/>
      <c r="R1944" s="15"/>
    </row>
    <row r="1945">
      <c r="B1945" s="14"/>
      <c r="F1945" s="14"/>
      <c r="G1945" s="14"/>
      <c r="J1945" s="15"/>
      <c r="K1945" s="14"/>
      <c r="R1945" s="15"/>
    </row>
    <row r="1946">
      <c r="B1946" s="14"/>
      <c r="F1946" s="14"/>
      <c r="G1946" s="14"/>
      <c r="J1946" s="15"/>
      <c r="K1946" s="14"/>
      <c r="R1946" s="15"/>
    </row>
    <row r="1947">
      <c r="B1947" s="14"/>
      <c r="F1947" s="14"/>
      <c r="G1947" s="14"/>
      <c r="J1947" s="15"/>
      <c r="K1947" s="14"/>
      <c r="R1947" s="15"/>
    </row>
    <row r="1948">
      <c r="B1948" s="14"/>
      <c r="F1948" s="14"/>
      <c r="G1948" s="14"/>
      <c r="J1948" s="15"/>
      <c r="K1948" s="14"/>
      <c r="R1948" s="15"/>
    </row>
    <row r="1949">
      <c r="B1949" s="14"/>
      <c r="F1949" s="14"/>
      <c r="G1949" s="14"/>
      <c r="J1949" s="15"/>
      <c r="K1949" s="14"/>
      <c r="R1949" s="15"/>
    </row>
    <row r="1950">
      <c r="B1950" s="14"/>
      <c r="F1950" s="14"/>
      <c r="G1950" s="14"/>
      <c r="J1950" s="15"/>
      <c r="K1950" s="14"/>
      <c r="R1950" s="15"/>
    </row>
    <row r="1951">
      <c r="B1951" s="14"/>
      <c r="F1951" s="14"/>
      <c r="G1951" s="14"/>
      <c r="J1951" s="15"/>
      <c r="K1951" s="14"/>
      <c r="R1951" s="15"/>
    </row>
    <row r="1952">
      <c r="B1952" s="14"/>
      <c r="F1952" s="14"/>
      <c r="G1952" s="14"/>
      <c r="J1952" s="15"/>
      <c r="K1952" s="14"/>
      <c r="R1952" s="15"/>
    </row>
    <row r="1953">
      <c r="B1953" s="14"/>
      <c r="F1953" s="14"/>
      <c r="G1953" s="14"/>
      <c r="J1953" s="15"/>
      <c r="K1953" s="14"/>
      <c r="R1953" s="15"/>
    </row>
    <row r="1954">
      <c r="B1954" s="14"/>
      <c r="F1954" s="14"/>
      <c r="G1954" s="14"/>
      <c r="J1954" s="15"/>
      <c r="K1954" s="14"/>
      <c r="R1954" s="15"/>
    </row>
    <row r="1955">
      <c r="B1955" s="14"/>
      <c r="F1955" s="14"/>
      <c r="G1955" s="14"/>
      <c r="J1955" s="15"/>
      <c r="K1955" s="14"/>
      <c r="R1955" s="15"/>
    </row>
    <row r="1956">
      <c r="B1956" s="14"/>
      <c r="F1956" s="14"/>
      <c r="G1956" s="14"/>
      <c r="J1956" s="15"/>
      <c r="K1956" s="14"/>
      <c r="R1956" s="15"/>
    </row>
    <row r="1957">
      <c r="B1957" s="14"/>
      <c r="F1957" s="14"/>
      <c r="G1957" s="14"/>
      <c r="J1957" s="15"/>
      <c r="K1957" s="14"/>
      <c r="R1957" s="15"/>
    </row>
    <row r="1958">
      <c r="B1958" s="14"/>
      <c r="F1958" s="14"/>
      <c r="G1958" s="14"/>
      <c r="J1958" s="15"/>
      <c r="K1958" s="14"/>
      <c r="R1958" s="15"/>
    </row>
    <row r="1959">
      <c r="B1959" s="14"/>
      <c r="F1959" s="14"/>
      <c r="G1959" s="14"/>
      <c r="J1959" s="15"/>
      <c r="K1959" s="14"/>
      <c r="R1959" s="15"/>
    </row>
    <row r="1960">
      <c r="B1960" s="14"/>
      <c r="F1960" s="14"/>
      <c r="G1960" s="14"/>
      <c r="J1960" s="15"/>
      <c r="K1960" s="14"/>
      <c r="R1960" s="15"/>
    </row>
    <row r="1961">
      <c r="B1961" s="14"/>
      <c r="F1961" s="14"/>
      <c r="G1961" s="14"/>
      <c r="J1961" s="15"/>
      <c r="K1961" s="14"/>
      <c r="R1961" s="15"/>
    </row>
    <row r="1962">
      <c r="B1962" s="14"/>
      <c r="F1962" s="14"/>
      <c r="G1962" s="14"/>
      <c r="J1962" s="15"/>
      <c r="K1962" s="14"/>
      <c r="R1962" s="15"/>
    </row>
    <row r="1963">
      <c r="B1963" s="14"/>
      <c r="F1963" s="14"/>
      <c r="G1963" s="14"/>
      <c r="J1963" s="15"/>
      <c r="K1963" s="14"/>
      <c r="R1963" s="15"/>
    </row>
    <row r="1964">
      <c r="B1964" s="14"/>
      <c r="F1964" s="14"/>
      <c r="G1964" s="14"/>
      <c r="J1964" s="15"/>
      <c r="K1964" s="14"/>
      <c r="R1964" s="15"/>
    </row>
    <row r="1965">
      <c r="B1965" s="14"/>
      <c r="F1965" s="14"/>
      <c r="G1965" s="14"/>
      <c r="J1965" s="15"/>
      <c r="K1965" s="14"/>
      <c r="R1965" s="15"/>
    </row>
    <row r="1966">
      <c r="B1966" s="14"/>
      <c r="F1966" s="14"/>
      <c r="G1966" s="14"/>
      <c r="J1966" s="15"/>
      <c r="K1966" s="14"/>
      <c r="R1966" s="15"/>
    </row>
    <row r="1967">
      <c r="B1967" s="14"/>
      <c r="F1967" s="14"/>
      <c r="G1967" s="14"/>
      <c r="J1967" s="15"/>
      <c r="K1967" s="14"/>
      <c r="R1967" s="15"/>
    </row>
    <row r="1968">
      <c r="B1968" s="14"/>
      <c r="F1968" s="14"/>
      <c r="G1968" s="14"/>
      <c r="J1968" s="15"/>
      <c r="K1968" s="14"/>
      <c r="R1968" s="15"/>
    </row>
    <row r="1969">
      <c r="B1969" s="14"/>
      <c r="F1969" s="14"/>
      <c r="G1969" s="14"/>
      <c r="J1969" s="15"/>
      <c r="K1969" s="14"/>
      <c r="R1969" s="15"/>
    </row>
    <row r="1970">
      <c r="B1970" s="14"/>
      <c r="F1970" s="14"/>
      <c r="G1970" s="14"/>
      <c r="J1970" s="15"/>
      <c r="K1970" s="14"/>
      <c r="R1970" s="15"/>
    </row>
    <row r="1971">
      <c r="B1971" s="14"/>
      <c r="F1971" s="14"/>
      <c r="G1971" s="14"/>
      <c r="J1971" s="15"/>
      <c r="K1971" s="14"/>
      <c r="R1971" s="15"/>
    </row>
    <row r="1972">
      <c r="B1972" s="14"/>
      <c r="F1972" s="14"/>
      <c r="G1972" s="14"/>
      <c r="J1972" s="15"/>
      <c r="K1972" s="14"/>
      <c r="R1972" s="15"/>
    </row>
    <row r="1973">
      <c r="B1973" s="14"/>
      <c r="F1973" s="14"/>
      <c r="G1973" s="14"/>
      <c r="J1973" s="15"/>
      <c r="K1973" s="14"/>
      <c r="R1973" s="15"/>
    </row>
    <row r="1974">
      <c r="B1974" s="14"/>
      <c r="F1974" s="14"/>
      <c r="G1974" s="14"/>
      <c r="J1974" s="15"/>
      <c r="K1974" s="14"/>
      <c r="R1974" s="15"/>
    </row>
    <row r="1975">
      <c r="B1975" s="14"/>
      <c r="F1975" s="14"/>
      <c r="G1975" s="14"/>
      <c r="J1975" s="15"/>
      <c r="K1975" s="14"/>
      <c r="R1975" s="15"/>
    </row>
    <row r="1976">
      <c r="B1976" s="14"/>
      <c r="F1976" s="14"/>
      <c r="G1976" s="14"/>
      <c r="J1976" s="15"/>
      <c r="K1976" s="14"/>
      <c r="R1976" s="15"/>
    </row>
    <row r="1977">
      <c r="B1977" s="14"/>
      <c r="F1977" s="14"/>
      <c r="G1977" s="14"/>
      <c r="J1977" s="15"/>
      <c r="K1977" s="14"/>
      <c r="R1977" s="15"/>
    </row>
    <row r="1978">
      <c r="B1978" s="14"/>
      <c r="F1978" s="14"/>
      <c r="G1978" s="14"/>
      <c r="J1978" s="15"/>
      <c r="K1978" s="14"/>
      <c r="R1978" s="15"/>
    </row>
    <row r="1979">
      <c r="B1979" s="14"/>
      <c r="F1979" s="14"/>
      <c r="G1979" s="14"/>
      <c r="J1979" s="15"/>
      <c r="K1979" s="14"/>
      <c r="R1979" s="15"/>
    </row>
    <row r="1980">
      <c r="B1980" s="14"/>
      <c r="F1980" s="14"/>
      <c r="G1980" s="14"/>
      <c r="J1980" s="15"/>
      <c r="K1980" s="14"/>
      <c r="R1980" s="15"/>
    </row>
    <row r="1981">
      <c r="B1981" s="14"/>
      <c r="F1981" s="14"/>
      <c r="G1981" s="14"/>
      <c r="J1981" s="15"/>
      <c r="K1981" s="14"/>
      <c r="R1981" s="15"/>
    </row>
    <row r="1982">
      <c r="B1982" s="14"/>
      <c r="F1982" s="14"/>
      <c r="G1982" s="14"/>
      <c r="J1982" s="15"/>
      <c r="K1982" s="14"/>
      <c r="R1982" s="15"/>
    </row>
    <row r="1983">
      <c r="B1983" s="14"/>
      <c r="F1983" s="14"/>
      <c r="G1983" s="14"/>
      <c r="J1983" s="15"/>
      <c r="K1983" s="14"/>
      <c r="R1983" s="15"/>
    </row>
    <row r="1984">
      <c r="B1984" s="14"/>
      <c r="F1984" s="14"/>
      <c r="G1984" s="14"/>
      <c r="J1984" s="15"/>
      <c r="K1984" s="14"/>
      <c r="R1984" s="15"/>
    </row>
    <row r="1985">
      <c r="B1985" s="14"/>
      <c r="F1985" s="14"/>
      <c r="G1985" s="14"/>
      <c r="J1985" s="15"/>
      <c r="K1985" s="14"/>
      <c r="R1985" s="15"/>
    </row>
    <row r="1986">
      <c r="B1986" s="14"/>
      <c r="F1986" s="14"/>
      <c r="G1986" s="14"/>
      <c r="J1986" s="15"/>
      <c r="K1986" s="14"/>
      <c r="R1986" s="15"/>
    </row>
    <row r="1987">
      <c r="B1987" s="14"/>
      <c r="F1987" s="14"/>
      <c r="G1987" s="14"/>
      <c r="J1987" s="15"/>
      <c r="K1987" s="14"/>
      <c r="R1987" s="15"/>
    </row>
    <row r="1988">
      <c r="B1988" s="14"/>
      <c r="F1988" s="14"/>
      <c r="G1988" s="14"/>
      <c r="J1988" s="15"/>
      <c r="K1988" s="14"/>
      <c r="R1988" s="15"/>
    </row>
    <row r="1989">
      <c r="B1989" s="14"/>
      <c r="F1989" s="14"/>
      <c r="G1989" s="14"/>
      <c r="J1989" s="15"/>
      <c r="K1989" s="14"/>
      <c r="R1989" s="15"/>
    </row>
    <row r="1990">
      <c r="B1990" s="14"/>
      <c r="F1990" s="14"/>
      <c r="G1990" s="14"/>
      <c r="J1990" s="15"/>
      <c r="K1990" s="14"/>
      <c r="R1990" s="15"/>
    </row>
    <row r="1991">
      <c r="B1991" s="14"/>
      <c r="F1991" s="14"/>
      <c r="G1991" s="14"/>
      <c r="J1991" s="15"/>
      <c r="K1991" s="14"/>
      <c r="R1991" s="15"/>
    </row>
    <row r="1992">
      <c r="B1992" s="14"/>
      <c r="F1992" s="14"/>
      <c r="G1992" s="14"/>
      <c r="J1992" s="15"/>
      <c r="K1992" s="14"/>
      <c r="R1992" s="15"/>
    </row>
    <row r="1993">
      <c r="B1993" s="14"/>
      <c r="F1993" s="14"/>
      <c r="G1993" s="14"/>
      <c r="J1993" s="15"/>
      <c r="K1993" s="14"/>
      <c r="R1993" s="15"/>
    </row>
    <row r="1994">
      <c r="B1994" s="14"/>
      <c r="F1994" s="14"/>
      <c r="G1994" s="14"/>
      <c r="J1994" s="15"/>
      <c r="K1994" s="14"/>
      <c r="R1994" s="15"/>
    </row>
    <row r="1995">
      <c r="B1995" s="14"/>
      <c r="F1995" s="14"/>
      <c r="G1995" s="14"/>
      <c r="J1995" s="15"/>
      <c r="K1995" s="14"/>
      <c r="R1995" s="15"/>
    </row>
    <row r="1996">
      <c r="B1996" s="14"/>
      <c r="F1996" s="14"/>
      <c r="G1996" s="14"/>
      <c r="J1996" s="15"/>
      <c r="K1996" s="14"/>
      <c r="R1996" s="15"/>
    </row>
    <row r="1997">
      <c r="B1997" s="14"/>
      <c r="F1997" s="14"/>
      <c r="G1997" s="14"/>
      <c r="J1997" s="15"/>
      <c r="K1997" s="14"/>
      <c r="R1997" s="15"/>
    </row>
    <row r="1998">
      <c r="B1998" s="14"/>
      <c r="F1998" s="14"/>
      <c r="G1998" s="14"/>
      <c r="J1998" s="15"/>
      <c r="K1998" s="14"/>
      <c r="R1998" s="15"/>
    </row>
    <row r="1999">
      <c r="B1999" s="14"/>
      <c r="F1999" s="14"/>
      <c r="G1999" s="14"/>
      <c r="J1999" s="15"/>
      <c r="K1999" s="14"/>
      <c r="R1999" s="15"/>
    </row>
    <row r="2000">
      <c r="B2000" s="14"/>
      <c r="F2000" s="14"/>
      <c r="G2000" s="14"/>
      <c r="J2000" s="15"/>
      <c r="K2000" s="14"/>
      <c r="R2000" s="15"/>
    </row>
    <row r="2001">
      <c r="B2001" s="14"/>
      <c r="F2001" s="14"/>
      <c r="G2001" s="14"/>
      <c r="J2001" s="15"/>
      <c r="K2001" s="14"/>
      <c r="R2001" s="15"/>
    </row>
    <row r="2002">
      <c r="J2002" s="15"/>
      <c r="R2002" s="15"/>
    </row>
    <row r="2003">
      <c r="J2003" s="15"/>
      <c r="R2003" s="15"/>
    </row>
    <row r="2004">
      <c r="J2004" s="15"/>
      <c r="R2004" s="15"/>
    </row>
    <row r="2005">
      <c r="J2005" s="15"/>
      <c r="R2005" s="15"/>
    </row>
    <row r="2006">
      <c r="J2006" s="15"/>
      <c r="R2006" s="15"/>
    </row>
    <row r="2007">
      <c r="J2007" s="15"/>
      <c r="R2007" s="15"/>
    </row>
    <row r="2008">
      <c r="J2008" s="15"/>
      <c r="R2008" s="15"/>
    </row>
    <row r="2009">
      <c r="J2009" s="15"/>
      <c r="R2009" s="15"/>
    </row>
    <row r="2010">
      <c r="J2010" s="15"/>
      <c r="R2010" s="15"/>
    </row>
    <row r="2011">
      <c r="J2011" s="15"/>
      <c r="R2011" s="15"/>
    </row>
    <row r="2012">
      <c r="J2012" s="15"/>
      <c r="R2012" s="15"/>
    </row>
    <row r="2013">
      <c r="J2013" s="15"/>
      <c r="R2013" s="15"/>
    </row>
    <row r="2014">
      <c r="J2014" s="15"/>
      <c r="R2014" s="15"/>
    </row>
    <row r="2015">
      <c r="J2015" s="15"/>
      <c r="R2015" s="15"/>
    </row>
    <row r="2016">
      <c r="J2016" s="15"/>
      <c r="R2016" s="15"/>
    </row>
    <row r="2017">
      <c r="J2017" s="15"/>
      <c r="R2017" s="15"/>
    </row>
    <row r="2018">
      <c r="J2018" s="15"/>
      <c r="R2018" s="15"/>
    </row>
    <row r="2019">
      <c r="J2019" s="15"/>
      <c r="R2019" s="15"/>
    </row>
    <row r="2020">
      <c r="J2020" s="15"/>
      <c r="R2020" s="15"/>
    </row>
    <row r="2021">
      <c r="J2021" s="15"/>
      <c r="R2021" s="15"/>
    </row>
    <row r="2022">
      <c r="J2022" s="15"/>
      <c r="R2022" s="15"/>
    </row>
    <row r="2023">
      <c r="J2023" s="15"/>
      <c r="R2023" s="15"/>
    </row>
    <row r="2024">
      <c r="J2024" s="15"/>
      <c r="R2024" s="15"/>
    </row>
    <row r="2025">
      <c r="J2025" s="15"/>
      <c r="R2025" s="15"/>
    </row>
    <row r="2026">
      <c r="J2026" s="15"/>
      <c r="R2026" s="15"/>
    </row>
    <row r="2027">
      <c r="J2027" s="15"/>
      <c r="R2027" s="15"/>
    </row>
    <row r="2028">
      <c r="J2028" s="15"/>
      <c r="R2028" s="15"/>
    </row>
    <row r="2029">
      <c r="J2029" s="15"/>
      <c r="R2029" s="15"/>
    </row>
    <row r="2030">
      <c r="J2030" s="15"/>
      <c r="R2030" s="15"/>
    </row>
    <row r="2031">
      <c r="J2031" s="15"/>
      <c r="R2031" s="15"/>
    </row>
    <row r="2032">
      <c r="J2032" s="15"/>
      <c r="R2032" s="15"/>
    </row>
    <row r="2033">
      <c r="J2033" s="15"/>
      <c r="R2033" s="15"/>
    </row>
    <row r="2034">
      <c r="J2034" s="15"/>
      <c r="R2034" s="15"/>
    </row>
    <row r="2035">
      <c r="J2035" s="15"/>
      <c r="R2035" s="15"/>
    </row>
    <row r="2036">
      <c r="J2036" s="15"/>
      <c r="R2036" s="15"/>
    </row>
    <row r="2037">
      <c r="J2037" s="15"/>
      <c r="R2037" s="15"/>
    </row>
    <row r="2038">
      <c r="J2038" s="15"/>
      <c r="R2038" s="15"/>
    </row>
    <row r="2039">
      <c r="J2039" s="15"/>
      <c r="R2039" s="15"/>
    </row>
    <row r="2040">
      <c r="J2040" s="15"/>
      <c r="R2040" s="15"/>
    </row>
    <row r="2041">
      <c r="J2041" s="15"/>
      <c r="R2041" s="15"/>
    </row>
    <row r="2042">
      <c r="J2042" s="15"/>
      <c r="R2042" s="15"/>
    </row>
    <row r="2043">
      <c r="J2043" s="15"/>
      <c r="R2043" s="15"/>
    </row>
    <row r="2044">
      <c r="J2044" s="15"/>
      <c r="R2044" s="15"/>
    </row>
    <row r="2045">
      <c r="J2045" s="15"/>
      <c r="R2045" s="15"/>
    </row>
    <row r="2046">
      <c r="J2046" s="15"/>
      <c r="R2046" s="15"/>
    </row>
    <row r="2047">
      <c r="J2047" s="15"/>
      <c r="R2047" s="15"/>
    </row>
    <row r="2048">
      <c r="J2048" s="15"/>
      <c r="R2048" s="15"/>
    </row>
    <row r="2049">
      <c r="J2049" s="15"/>
      <c r="R2049" s="15"/>
    </row>
    <row r="2050">
      <c r="J2050" s="15"/>
      <c r="R2050" s="15"/>
    </row>
    <row r="2051">
      <c r="J2051" s="15"/>
      <c r="R2051" s="15"/>
    </row>
    <row r="2052">
      <c r="J2052" s="15"/>
      <c r="R2052" s="15"/>
    </row>
    <row r="2053">
      <c r="J2053" s="15"/>
      <c r="R2053" s="15"/>
    </row>
    <row r="2054">
      <c r="J2054" s="15"/>
      <c r="R2054" s="15"/>
    </row>
    <row r="2055">
      <c r="J2055" s="15"/>
      <c r="R2055" s="15"/>
    </row>
    <row r="2056">
      <c r="J2056" s="15"/>
      <c r="R2056" s="15"/>
    </row>
    <row r="2057">
      <c r="J2057" s="15"/>
      <c r="R2057" s="15"/>
    </row>
    <row r="2058">
      <c r="J2058" s="15"/>
      <c r="R2058" s="15"/>
    </row>
    <row r="2059">
      <c r="J2059" s="15"/>
      <c r="R2059" s="15"/>
    </row>
    <row r="2060">
      <c r="J2060" s="15"/>
      <c r="R2060" s="15"/>
    </row>
    <row r="2061">
      <c r="J2061" s="15"/>
      <c r="R2061" s="15"/>
    </row>
    <row r="2062">
      <c r="J2062" s="15"/>
      <c r="R2062" s="15"/>
    </row>
    <row r="2063">
      <c r="J2063" s="15"/>
      <c r="R2063" s="15"/>
    </row>
    <row r="2064">
      <c r="J2064" s="15"/>
      <c r="R2064" s="15"/>
    </row>
    <row r="2065">
      <c r="J2065" s="15"/>
      <c r="R2065" s="15"/>
    </row>
    <row r="2066">
      <c r="J2066" s="15"/>
      <c r="R2066" s="15"/>
    </row>
    <row r="2067">
      <c r="J2067" s="15"/>
      <c r="R2067" s="15"/>
    </row>
    <row r="2068">
      <c r="J2068" s="15"/>
      <c r="R2068" s="15"/>
    </row>
    <row r="2069">
      <c r="J2069" s="15"/>
      <c r="R2069" s="15"/>
    </row>
    <row r="2070">
      <c r="J2070" s="15"/>
      <c r="R2070" s="15"/>
    </row>
    <row r="2071">
      <c r="J2071" s="15"/>
      <c r="R2071" s="15"/>
    </row>
    <row r="2072">
      <c r="J2072" s="15"/>
      <c r="R2072" s="15"/>
    </row>
    <row r="2073">
      <c r="J2073" s="15"/>
      <c r="R2073" s="15"/>
    </row>
    <row r="2074">
      <c r="J2074" s="15"/>
      <c r="R2074" s="15"/>
    </row>
    <row r="2075">
      <c r="J2075" s="15"/>
      <c r="R2075" s="15"/>
    </row>
    <row r="2076">
      <c r="J2076" s="15"/>
      <c r="R2076" s="15"/>
    </row>
    <row r="2077">
      <c r="J2077" s="15"/>
      <c r="R2077" s="15"/>
    </row>
    <row r="2078">
      <c r="J2078" s="15"/>
      <c r="R2078" s="15"/>
    </row>
    <row r="2079">
      <c r="J2079" s="15"/>
      <c r="R2079" s="15"/>
    </row>
    <row r="2080">
      <c r="J2080" s="15"/>
      <c r="R2080" s="15"/>
    </row>
    <row r="2081">
      <c r="J2081" s="15"/>
      <c r="R2081" s="15"/>
    </row>
    <row r="2082">
      <c r="J2082" s="15"/>
      <c r="R2082" s="15"/>
    </row>
    <row r="2083">
      <c r="J2083" s="15"/>
      <c r="R2083" s="15"/>
    </row>
    <row r="2084">
      <c r="J2084" s="15"/>
      <c r="R2084" s="15"/>
    </row>
    <row r="2085">
      <c r="J2085" s="15"/>
      <c r="R2085" s="15"/>
    </row>
    <row r="2086">
      <c r="J2086" s="15"/>
      <c r="R2086" s="15"/>
    </row>
    <row r="2087">
      <c r="J2087" s="15"/>
      <c r="R2087" s="15"/>
    </row>
    <row r="2088">
      <c r="J2088" s="15"/>
      <c r="R2088" s="15"/>
    </row>
    <row r="2089">
      <c r="J2089" s="15"/>
      <c r="R2089" s="15"/>
    </row>
    <row r="2090">
      <c r="J2090" s="15"/>
      <c r="R2090" s="15"/>
    </row>
    <row r="2091">
      <c r="J2091" s="15"/>
      <c r="R2091" s="15"/>
    </row>
    <row r="2092">
      <c r="J2092" s="15"/>
      <c r="R2092" s="15"/>
    </row>
    <row r="2093">
      <c r="J2093" s="15"/>
      <c r="R2093" s="15"/>
    </row>
    <row r="2094">
      <c r="J2094" s="15"/>
      <c r="R2094" s="15"/>
    </row>
    <row r="2095">
      <c r="J2095" s="15"/>
      <c r="R2095" s="15"/>
    </row>
    <row r="2096">
      <c r="J2096" s="15"/>
      <c r="R2096" s="15"/>
    </row>
    <row r="2097">
      <c r="J2097" s="15"/>
      <c r="R2097" s="15"/>
    </row>
    <row r="2098">
      <c r="J2098" s="15"/>
      <c r="R2098" s="15"/>
    </row>
    <row r="2099">
      <c r="J2099" s="15"/>
      <c r="R2099" s="15"/>
    </row>
    <row r="2100">
      <c r="J2100" s="15"/>
      <c r="R2100" s="15"/>
    </row>
    <row r="2101">
      <c r="J2101" s="15"/>
      <c r="R2101" s="15"/>
    </row>
    <row r="2102">
      <c r="J2102" s="15"/>
      <c r="R2102" s="15"/>
    </row>
    <row r="2103">
      <c r="J2103" s="15"/>
      <c r="R2103" s="15"/>
    </row>
    <row r="2104">
      <c r="J2104" s="15"/>
      <c r="R2104" s="15"/>
    </row>
    <row r="2105">
      <c r="J2105" s="15"/>
      <c r="R2105" s="15"/>
    </row>
    <row r="2106">
      <c r="J2106" s="15"/>
      <c r="R2106" s="15"/>
    </row>
    <row r="2107">
      <c r="J2107" s="15"/>
      <c r="R2107" s="15"/>
    </row>
    <row r="2108">
      <c r="J2108" s="15"/>
      <c r="R2108" s="15"/>
    </row>
    <row r="2109">
      <c r="J2109" s="15"/>
      <c r="R2109" s="15"/>
    </row>
    <row r="2110">
      <c r="J2110" s="15"/>
      <c r="R2110" s="15"/>
    </row>
    <row r="2111">
      <c r="J2111" s="15"/>
      <c r="R2111" s="15"/>
    </row>
    <row r="2112">
      <c r="J2112" s="15"/>
      <c r="R2112" s="15"/>
    </row>
    <row r="2113">
      <c r="J2113" s="15"/>
      <c r="R2113" s="15"/>
    </row>
    <row r="2114">
      <c r="J2114" s="15"/>
      <c r="R2114" s="15"/>
    </row>
    <row r="2115">
      <c r="J2115" s="15"/>
      <c r="R2115" s="15"/>
    </row>
    <row r="2116">
      <c r="J2116" s="15"/>
      <c r="R2116" s="15"/>
    </row>
    <row r="2117">
      <c r="J2117" s="15"/>
      <c r="R2117" s="15"/>
    </row>
    <row r="2118">
      <c r="J2118" s="15"/>
      <c r="R2118" s="15"/>
    </row>
    <row r="2119">
      <c r="J2119" s="15"/>
      <c r="R2119" s="15"/>
    </row>
    <row r="2120">
      <c r="J2120" s="15"/>
      <c r="R2120" s="15"/>
    </row>
    <row r="2121">
      <c r="J2121" s="15"/>
      <c r="R2121" s="15"/>
    </row>
    <row r="2122">
      <c r="J2122" s="15"/>
      <c r="R2122" s="15"/>
    </row>
    <row r="2123">
      <c r="J2123" s="15"/>
      <c r="R2123" s="15"/>
    </row>
    <row r="2124">
      <c r="J2124" s="15"/>
      <c r="R2124" s="15"/>
    </row>
    <row r="2125">
      <c r="J2125" s="15"/>
      <c r="R2125" s="15"/>
    </row>
    <row r="2126">
      <c r="J2126" s="15"/>
      <c r="R2126" s="15"/>
    </row>
    <row r="2127">
      <c r="J2127" s="15"/>
      <c r="R2127" s="15"/>
    </row>
    <row r="2128">
      <c r="J2128" s="15"/>
      <c r="R2128" s="15"/>
    </row>
    <row r="2129">
      <c r="J2129" s="15"/>
      <c r="R2129" s="15"/>
    </row>
    <row r="2130">
      <c r="J2130" s="15"/>
      <c r="R2130" s="15"/>
    </row>
    <row r="2131">
      <c r="J2131" s="15"/>
      <c r="R2131" s="15"/>
    </row>
    <row r="2132">
      <c r="J2132" s="15"/>
      <c r="R2132" s="15"/>
    </row>
    <row r="2133">
      <c r="J2133" s="15"/>
      <c r="R2133" s="15"/>
    </row>
    <row r="2134">
      <c r="J2134" s="15"/>
      <c r="R2134" s="15"/>
    </row>
    <row r="2135">
      <c r="J2135" s="15"/>
      <c r="R2135" s="15"/>
    </row>
    <row r="2136">
      <c r="J2136" s="15"/>
      <c r="R2136" s="15"/>
    </row>
    <row r="2137">
      <c r="J2137" s="15"/>
      <c r="R2137" s="15"/>
    </row>
    <row r="2138">
      <c r="J2138" s="15"/>
      <c r="R2138" s="15"/>
    </row>
    <row r="2139">
      <c r="J2139" s="15"/>
      <c r="R2139" s="15"/>
    </row>
    <row r="2140">
      <c r="J2140" s="15"/>
      <c r="R2140" s="15"/>
    </row>
    <row r="2141">
      <c r="J2141" s="15"/>
      <c r="R2141" s="15"/>
    </row>
    <row r="2142">
      <c r="J2142" s="15"/>
      <c r="R2142" s="15"/>
    </row>
    <row r="2143">
      <c r="J2143" s="15"/>
      <c r="R2143" s="15"/>
    </row>
    <row r="2144">
      <c r="J2144" s="15"/>
      <c r="R2144" s="15"/>
    </row>
    <row r="2145">
      <c r="J2145" s="15"/>
      <c r="R2145" s="15"/>
    </row>
    <row r="2146">
      <c r="J2146" s="15"/>
      <c r="R2146" s="15"/>
    </row>
    <row r="2147">
      <c r="J2147" s="15"/>
      <c r="R2147" s="15"/>
    </row>
    <row r="2148">
      <c r="J2148" s="15"/>
      <c r="R2148" s="15"/>
    </row>
    <row r="2149">
      <c r="J2149" s="15"/>
      <c r="R2149" s="15"/>
    </row>
    <row r="2150">
      <c r="J2150" s="15"/>
      <c r="R2150" s="15"/>
    </row>
    <row r="2151">
      <c r="J2151" s="15"/>
      <c r="R2151" s="15"/>
    </row>
    <row r="2152">
      <c r="J2152" s="15"/>
      <c r="R2152" s="15"/>
    </row>
    <row r="2153">
      <c r="J2153" s="15"/>
      <c r="R2153" s="15"/>
    </row>
    <row r="2154">
      <c r="J2154" s="15"/>
      <c r="R2154" s="15"/>
    </row>
    <row r="2155">
      <c r="J2155" s="15"/>
      <c r="R2155" s="15"/>
    </row>
    <row r="2156">
      <c r="J2156" s="15"/>
      <c r="R2156" s="15"/>
    </row>
    <row r="2157">
      <c r="J2157" s="15"/>
      <c r="R2157" s="15"/>
    </row>
    <row r="2158">
      <c r="J2158" s="15"/>
      <c r="R2158" s="15"/>
    </row>
    <row r="2159">
      <c r="J2159" s="15"/>
      <c r="R2159" s="15"/>
    </row>
    <row r="2160">
      <c r="J2160" s="15"/>
      <c r="R2160" s="15"/>
    </row>
    <row r="2161">
      <c r="J2161" s="15"/>
      <c r="R2161" s="15"/>
    </row>
    <row r="2162">
      <c r="J2162" s="15"/>
      <c r="R2162" s="15"/>
    </row>
    <row r="2163">
      <c r="J2163" s="15"/>
      <c r="R2163" s="15"/>
    </row>
    <row r="2164">
      <c r="J2164" s="15"/>
      <c r="R2164" s="15"/>
    </row>
    <row r="2165">
      <c r="J2165" s="15"/>
      <c r="R2165" s="15"/>
    </row>
    <row r="2166">
      <c r="J2166" s="15"/>
      <c r="R2166" s="15"/>
    </row>
    <row r="2167">
      <c r="J2167" s="15"/>
      <c r="R2167" s="15"/>
    </row>
    <row r="2168">
      <c r="J2168" s="15"/>
      <c r="R2168" s="15"/>
    </row>
    <row r="2169">
      <c r="J2169" s="15"/>
      <c r="R2169" s="15"/>
    </row>
    <row r="2170">
      <c r="J2170" s="15"/>
      <c r="R2170" s="15"/>
    </row>
    <row r="2171">
      <c r="J2171" s="15"/>
      <c r="R2171" s="15"/>
    </row>
    <row r="2172">
      <c r="J2172" s="15"/>
      <c r="R2172" s="15"/>
    </row>
    <row r="2173">
      <c r="J2173" s="15"/>
      <c r="R2173" s="15"/>
    </row>
    <row r="2174">
      <c r="J2174" s="15"/>
      <c r="R2174" s="15"/>
    </row>
    <row r="2175">
      <c r="J2175" s="15"/>
      <c r="R2175" s="15"/>
    </row>
    <row r="2176">
      <c r="J2176" s="15"/>
      <c r="R2176" s="15"/>
    </row>
    <row r="2177">
      <c r="J2177" s="15"/>
      <c r="R2177" s="15"/>
    </row>
    <row r="2178">
      <c r="J2178" s="15"/>
      <c r="R2178" s="15"/>
    </row>
    <row r="2179">
      <c r="J2179" s="15"/>
      <c r="R2179" s="15"/>
    </row>
    <row r="2180">
      <c r="J2180" s="15"/>
      <c r="R2180" s="15"/>
    </row>
    <row r="2181">
      <c r="J2181" s="15"/>
      <c r="R2181" s="15"/>
    </row>
    <row r="2182">
      <c r="J2182" s="15"/>
      <c r="R2182" s="15"/>
    </row>
    <row r="2183">
      <c r="J2183" s="15"/>
      <c r="R2183" s="15"/>
    </row>
    <row r="2184">
      <c r="J2184" s="15"/>
      <c r="R2184" s="15"/>
    </row>
    <row r="2185">
      <c r="J2185" s="15"/>
      <c r="R2185" s="15"/>
    </row>
    <row r="2186">
      <c r="J2186" s="15"/>
      <c r="R2186" s="15"/>
    </row>
    <row r="2187">
      <c r="J2187" s="15"/>
      <c r="R2187" s="15"/>
    </row>
    <row r="2188">
      <c r="J2188" s="15"/>
      <c r="R2188" s="15"/>
    </row>
    <row r="2189">
      <c r="J2189" s="15"/>
      <c r="R2189" s="15"/>
    </row>
    <row r="2190">
      <c r="J2190" s="15"/>
      <c r="R2190" s="15"/>
    </row>
    <row r="2191">
      <c r="J2191" s="15"/>
      <c r="R2191" s="15"/>
    </row>
    <row r="2192">
      <c r="J2192" s="15"/>
      <c r="R2192" s="15"/>
    </row>
    <row r="2193">
      <c r="J2193" s="15"/>
      <c r="R2193" s="15"/>
    </row>
    <row r="2194">
      <c r="J2194" s="15"/>
      <c r="R2194" s="15"/>
    </row>
    <row r="2195">
      <c r="J2195" s="15"/>
      <c r="R2195" s="15"/>
    </row>
    <row r="2196">
      <c r="J2196" s="15"/>
      <c r="R2196" s="15"/>
    </row>
    <row r="2197">
      <c r="J2197" s="15"/>
      <c r="R2197" s="15"/>
    </row>
    <row r="2198">
      <c r="J2198" s="15"/>
      <c r="R2198" s="15"/>
    </row>
    <row r="2199">
      <c r="J2199" s="15"/>
      <c r="R2199" s="15"/>
    </row>
    <row r="2200">
      <c r="J2200" s="15"/>
      <c r="R2200" s="15"/>
    </row>
    <row r="2201">
      <c r="J2201" s="15"/>
      <c r="R2201" s="15"/>
    </row>
    <row r="2202">
      <c r="J2202" s="15"/>
      <c r="R2202" s="15"/>
    </row>
    <row r="2203">
      <c r="J2203" s="15"/>
      <c r="R2203" s="15"/>
    </row>
    <row r="2204">
      <c r="J2204" s="15"/>
      <c r="R2204" s="15"/>
    </row>
    <row r="2205">
      <c r="J2205" s="15"/>
      <c r="R2205" s="15"/>
    </row>
    <row r="2206">
      <c r="J2206" s="15"/>
      <c r="R2206" s="15"/>
    </row>
    <row r="2207">
      <c r="J2207" s="15"/>
      <c r="R2207" s="15"/>
    </row>
    <row r="2208">
      <c r="J2208" s="15"/>
      <c r="R2208" s="15"/>
    </row>
    <row r="2209">
      <c r="J2209" s="15"/>
      <c r="R2209" s="15"/>
    </row>
    <row r="2210">
      <c r="J2210" s="15"/>
      <c r="R2210" s="15"/>
    </row>
    <row r="2211">
      <c r="J2211" s="15"/>
      <c r="R2211" s="15"/>
    </row>
    <row r="2212">
      <c r="J2212" s="15"/>
      <c r="R2212" s="15"/>
    </row>
    <row r="2213">
      <c r="J2213" s="15"/>
      <c r="R2213" s="15"/>
    </row>
    <row r="2214">
      <c r="J2214" s="15"/>
      <c r="R2214" s="15"/>
    </row>
    <row r="2215">
      <c r="J2215" s="15"/>
      <c r="R2215" s="15"/>
    </row>
    <row r="2216">
      <c r="J2216" s="15"/>
      <c r="R2216" s="15"/>
    </row>
    <row r="2217">
      <c r="J2217" s="15"/>
      <c r="R2217" s="15"/>
    </row>
    <row r="2218">
      <c r="J2218" s="15"/>
      <c r="R2218" s="15"/>
    </row>
    <row r="2219">
      <c r="J2219" s="15"/>
      <c r="R2219" s="15"/>
    </row>
    <row r="2220">
      <c r="J2220" s="15"/>
      <c r="R2220" s="15"/>
    </row>
    <row r="2221">
      <c r="J2221" s="15"/>
      <c r="R2221" s="15"/>
    </row>
    <row r="2222">
      <c r="J2222" s="15"/>
      <c r="R2222" s="15"/>
    </row>
    <row r="2223">
      <c r="J2223" s="15"/>
      <c r="R2223" s="15"/>
    </row>
    <row r="2224">
      <c r="J2224" s="15"/>
      <c r="R2224" s="15"/>
    </row>
    <row r="2225">
      <c r="J2225" s="15"/>
      <c r="R2225" s="15"/>
    </row>
    <row r="2226">
      <c r="J2226" s="15"/>
      <c r="R2226" s="15"/>
    </row>
    <row r="2227">
      <c r="J2227" s="15"/>
      <c r="R2227" s="15"/>
    </row>
    <row r="2228">
      <c r="J2228" s="15"/>
      <c r="R2228" s="15"/>
    </row>
    <row r="2229">
      <c r="J2229" s="15"/>
      <c r="R2229" s="1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